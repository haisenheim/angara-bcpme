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Nama Linda\Desktop\PROGRAMME ELESYST 2025\ANGARA SOLUTIONS\2025 TEST ANGARA\EXPERIENCE CHATGPT ET ANGARA\"/>
    </mc:Choice>
  </mc:AlternateContent>
  <xr:revisionPtr revIDLastSave="0" documentId="13_ncr:1_{90BA6214-19FA-4035-AD2A-BF92212F0281}" xr6:coauthVersionLast="36" xr6:coauthVersionMax="36" xr10:uidLastSave="{00000000-0000-0000-0000-000000000000}"/>
  <bookViews>
    <workbookView xWindow="0" yWindow="0" windowWidth="19200" windowHeight="6810" activeTab="1" xr2:uid="{0D7A612D-C135-40F1-BCE6-6E730D720934}"/>
  </bookViews>
  <sheets>
    <sheet name="GRILLE SCORING" sheetId="1" r:id="rId1"/>
    <sheet name="VALEURS DES SOUS-CRITERES" sheetId="4" r:id="rId2"/>
    <sheet name="DEFINITION DES NOTATIONS" sheetId="2" r:id="rId3"/>
    <sheet name="INTERPRETATION DES NOTATIONS" sheetId="3"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8" i="4" l="1"/>
  <c r="B42" i="4"/>
  <c r="E41" i="4"/>
  <c r="E40" i="4"/>
  <c r="B43" i="4"/>
  <c r="E34" i="4"/>
  <c r="B18" i="4"/>
  <c r="B19" i="4" s="1"/>
  <c r="J47" i="4"/>
  <c r="D58" i="4"/>
  <c r="E57" i="4"/>
  <c r="E56" i="4"/>
  <c r="E55" i="4"/>
  <c r="C53" i="4"/>
  <c r="E52" i="4"/>
  <c r="E51" i="4"/>
  <c r="E50" i="4"/>
  <c r="E49" i="4"/>
  <c r="C48" i="4"/>
  <c r="E47" i="4"/>
  <c r="E46" i="4"/>
  <c r="E45" i="4"/>
  <c r="C44" i="4"/>
  <c r="E42" i="4"/>
  <c r="E39" i="4" s="1"/>
  <c r="C39" i="4"/>
  <c r="E38" i="4"/>
  <c r="B38" i="4"/>
  <c r="E37" i="4"/>
  <c r="E36" i="4"/>
  <c r="E35" i="4"/>
  <c r="C33" i="4"/>
  <c r="E31" i="4"/>
  <c r="B30" i="4"/>
  <c r="B45" i="4" s="1"/>
  <c r="B47" i="4" s="1"/>
  <c r="E29" i="4"/>
  <c r="E28" i="4"/>
  <c r="C27" i="4"/>
  <c r="B26" i="4"/>
  <c r="E25" i="4"/>
  <c r="E24" i="4"/>
  <c r="E23" i="4"/>
  <c r="E22" i="4"/>
  <c r="E21" i="4"/>
  <c r="C20" i="4"/>
  <c r="E19" i="4"/>
  <c r="E17" i="4"/>
  <c r="E16" i="4"/>
  <c r="E15" i="4"/>
  <c r="E14" i="4"/>
  <c r="C13" i="4"/>
  <c r="E12" i="4"/>
  <c r="E11" i="4"/>
  <c r="E10" i="4"/>
  <c r="E9" i="4"/>
  <c r="E8" i="4"/>
  <c r="E7" i="4"/>
  <c r="E6" i="4"/>
  <c r="C5" i="4"/>
  <c r="B31" i="4" l="1"/>
  <c r="E53" i="4"/>
  <c r="E44" i="4"/>
  <c r="C32" i="4"/>
  <c r="E48" i="4"/>
  <c r="C58" i="4"/>
  <c r="E33" i="4"/>
  <c r="E32" i="4" s="1"/>
  <c r="E27" i="4"/>
  <c r="E20" i="4"/>
  <c r="E13" i="4"/>
  <c r="E5" i="4"/>
  <c r="E58" i="4" l="1"/>
  <c r="B45" i="1" l="1"/>
  <c r="B47" i="1" s="1"/>
  <c r="C23" i="1"/>
  <c r="C41" i="1"/>
  <c r="C34" i="1" s="1"/>
  <c r="E48" i="1"/>
  <c r="E53" i="1"/>
  <c r="C53" i="1"/>
  <c r="E50" i="1"/>
  <c r="C48" i="1"/>
  <c r="C44" i="1"/>
  <c r="C9" i="1"/>
  <c r="C17" i="1"/>
  <c r="C30" i="1"/>
  <c r="C35" i="1"/>
  <c r="D58" i="1"/>
  <c r="E13" i="1"/>
  <c r="E14" i="1"/>
  <c r="E15" i="1"/>
  <c r="E16" i="1"/>
  <c r="E10" i="1"/>
  <c r="E11" i="1"/>
  <c r="E12" i="1"/>
  <c r="E18" i="1"/>
  <c r="E19" i="1"/>
  <c r="E20" i="1"/>
  <c r="E21" i="1"/>
  <c r="E22" i="1"/>
  <c r="E24" i="1"/>
  <c r="E25" i="1"/>
  <c r="E26" i="1"/>
  <c r="E27" i="1"/>
  <c r="E28" i="1"/>
  <c r="E23" i="1" s="1"/>
  <c r="E31" i="1"/>
  <c r="E32" i="1"/>
  <c r="E33" i="1"/>
  <c r="E36" i="1"/>
  <c r="E37" i="1"/>
  <c r="E38" i="1"/>
  <c r="E39" i="1"/>
  <c r="E40" i="1"/>
  <c r="E42" i="1"/>
  <c r="E41" i="1" s="1"/>
  <c r="E49" i="1"/>
  <c r="E51" i="1"/>
  <c r="E52" i="1"/>
  <c r="E45" i="1"/>
  <c r="E46" i="1"/>
  <c r="E47" i="1"/>
  <c r="E55" i="1"/>
  <c r="E56" i="1"/>
  <c r="E57" i="1"/>
  <c r="B29" i="1"/>
  <c r="B40" i="1"/>
  <c r="B43" i="1" s="1"/>
  <c r="B33" i="1"/>
  <c r="E30" i="1" l="1"/>
  <c r="E9" i="1"/>
  <c r="E44" i="1"/>
  <c r="E17" i="1"/>
  <c r="C58" i="1"/>
  <c r="E35" i="1"/>
  <c r="E34" i="1" s="1"/>
  <c r="E58" i="1" l="1"/>
</calcChain>
</file>

<file path=xl/sharedStrings.xml><?xml version="1.0" encoding="utf-8"?>
<sst xmlns="http://schemas.openxmlformats.org/spreadsheetml/2006/main" count="554" uniqueCount="296">
  <si>
    <t>Nom du promoteur</t>
  </si>
  <si>
    <t>[Nom du producteur]</t>
  </si>
  <si>
    <t>Localisation de l’exploitation</t>
  </si>
  <si>
    <t>[Village, Commune, Département, Région]</t>
  </si>
  <si>
    <t>Superficie exploitée</t>
  </si>
  <si>
    <t>1,5 hectare</t>
  </si>
  <si>
    <t>Statut foncier</t>
  </si>
  <si>
    <t>[Propriétaire / Usufruit / Location / Héritage]</t>
  </si>
  <si>
    <t>Année de mise en culture</t>
  </si>
  <si>
    <t>Encadrement technique</t>
  </si>
  <si>
    <t>[Coopérative, ONG, Programme public]</t>
  </si>
  <si>
    <t>Âge moyen des cacaoyers</t>
  </si>
  <si>
    <t>8-10 ans</t>
  </si>
  <si>
    <t>Main d’œuvre (entretien + récolte)</t>
  </si>
  <si>
    <t>Intrants (engrais, traitements)</t>
  </si>
  <si>
    <t>Matériel (petits outils)</t>
  </si>
  <si>
    <t>Transport / Collecte</t>
  </si>
  <si>
    <t>Total charges</t>
  </si>
  <si>
    <t>4. Résultat d’exploitation prévisionnel</t>
  </si>
  <si>
    <t>Résultat net prévisionnel</t>
  </si>
  <si>
    <t>Séchoir solaire artisanal</t>
  </si>
  <si>
    <t>Pulvérisateur + outils</t>
  </si>
  <si>
    <t>Replantation partielle</t>
  </si>
  <si>
    <t>Compost / engrais organique</t>
  </si>
  <si>
    <t>Total investissement</t>
  </si>
  <si>
    <t>b) Fonds de roulement (BFR)</t>
  </si>
  <si>
    <t>Besoin de trésorerie de campagne (intrants, main d'œuvre, etc.)</t>
  </si>
  <si>
    <t>Morale</t>
  </si>
  <si>
    <t>Physique</t>
  </si>
  <si>
    <t>Outillage financé + production en nantissement</t>
  </si>
  <si>
    <t>Autres</t>
  </si>
  <si>
    <t>Résultat net annuel</t>
  </si>
  <si>
    <t>Taux de couverture (résultat net / annuité)</t>
  </si>
  <si>
    <t>Garantie solidaire (si groupe), fonds de garantie partenaire (le cas échéant)</t>
  </si>
  <si>
    <t>Atténuation</t>
  </si>
  <si>
    <t>Maladies des cacaoyers</t>
  </si>
  <si>
    <t>Mauvais séchage</t>
  </si>
  <si>
    <t>Difficulté de collecte</t>
  </si>
  <si>
    <t>Adhésion à une coopérative ou réseau de collecteurs</t>
  </si>
  <si>
    <t>Risques</t>
  </si>
  <si>
    <t>Poids (%)</t>
  </si>
  <si>
    <t>Score (1-10)</t>
  </si>
  <si>
    <t>Accès aux intrants</t>
  </si>
  <si>
    <t>Historique de crédit</t>
  </si>
  <si>
    <t>Score ESG [Mapping (10) / Certification (20) / Recyclage (30) / Energie renv (20)/RH (20)]</t>
  </si>
  <si>
    <t>Organisation collective</t>
  </si>
  <si>
    <t>[Coopérative, autonome, Programme public]</t>
  </si>
  <si>
    <t xml:space="preserve">2. Activité : Situation de la Production </t>
  </si>
  <si>
    <t>[Coopérative, association, GIC, etc.]</t>
  </si>
  <si>
    <t>Charges totales</t>
  </si>
  <si>
    <t>Solvable dans les précédents engagements</t>
  </si>
  <si>
    <t>3. Maîtrise des charges d’exploitation annuelles</t>
  </si>
  <si>
    <t>6. Capacité de remboursement</t>
  </si>
  <si>
    <t>7. Garanties proposées</t>
  </si>
  <si>
    <t>Critères de notation et données des Petites Exploitations</t>
  </si>
  <si>
    <t>Données collectées</t>
  </si>
  <si>
    <t>1. Stratégie et gestion</t>
  </si>
  <si>
    <t>Total</t>
  </si>
  <si>
    <t>Scoring/10</t>
  </si>
  <si>
    <t>Chiffre d’affaires annuel sous contrat</t>
  </si>
  <si>
    <t>Densité (plants/ha) ~1 100</t>
  </si>
  <si>
    <t>900 kg</t>
  </si>
  <si>
    <t>Production totale estimée /an</t>
  </si>
  <si>
    <t>Prix de vente prévu et volatilité /kg</t>
  </si>
  <si>
    <t>Rendement/ha (kg/ha) ~1000 kg</t>
  </si>
  <si>
    <t>Chiffre d’affaires brut (contrat et autres)</t>
  </si>
  <si>
    <t>Diversification des revenus [Agriculture, Elevage, Commerce, Autres]</t>
  </si>
  <si>
    <t xml:space="preserve"> [Revenus : ___________________, ______________________, __________________________, ____________________________]</t>
  </si>
  <si>
    <t xml:space="preserve">8. Capacité de maîtrise des risques identifiés </t>
  </si>
  <si>
    <t>Utilisation d’un séchoir conforme</t>
  </si>
  <si>
    <t>Maîtrise et application conforme itinéraire technique + produits phytosanitaires</t>
  </si>
  <si>
    <t>Définitions générales</t>
  </si>
  <si>
    <t>Notation conventionnelle ANGARA des PME adoptée par ELESYST</t>
  </si>
  <si>
    <t>Note moyenne des critères et sous-critères d'analyse</t>
  </si>
  <si>
    <r>
      <t xml:space="preserve">SAVSME CMR SME1 (Score 1/10)                                                                                                                                </t>
    </r>
    <r>
      <rPr>
        <sz val="11"/>
        <color theme="1"/>
        <rFont val="Calibri"/>
        <family val="2"/>
        <scheme val="minor"/>
      </rPr>
      <t>Le niveau de solvabilité de la PME, validé en comparaison d'autres PME, est très élevé</t>
    </r>
  </si>
  <si>
    <r>
      <t>SAVSME CMR SME2</t>
    </r>
    <r>
      <rPr>
        <sz val="11"/>
        <color theme="1"/>
        <rFont val="Calibri"/>
        <family val="2"/>
        <scheme val="minor"/>
      </rPr>
      <t xml:space="preserve"> (Score 2/10)                                                                                                                                Le niveau de solvabilité de la PME, validé en comparaison d'autres PME, est élevé</t>
    </r>
  </si>
  <si>
    <r>
      <t xml:space="preserve">SAVSME CMR SME3 </t>
    </r>
    <r>
      <rPr>
        <sz val="11"/>
        <color theme="1"/>
        <rFont val="Calibri"/>
        <family val="2"/>
        <scheme val="minor"/>
      </rPr>
      <t>(Score 3/10)                                                                                                                                      Le niveau de solvabilité de la PME, validé en comparaison d'autres PME, est au dessus de la moyenne</t>
    </r>
  </si>
  <si>
    <r>
      <t xml:space="preserve">SAVSME CMR SME4 </t>
    </r>
    <r>
      <rPr>
        <sz val="11"/>
        <color theme="1"/>
        <rFont val="Calibri"/>
        <family val="2"/>
        <scheme val="minor"/>
      </rPr>
      <t>(Score 4/10)                                                                                                                                                   Le niveau de solvabilité de la PME, validé en comparaison d'autres PME, est  moyen</t>
    </r>
  </si>
  <si>
    <r>
      <t>SAVSME CMR SME5</t>
    </r>
    <r>
      <rPr>
        <sz val="11"/>
        <color theme="1"/>
        <rFont val="Calibri"/>
        <family val="2"/>
        <scheme val="minor"/>
      </rPr>
      <t xml:space="preserve"> (Score 5/10)                                                                                                                                                  Le niveau de solvabilité de la PME, validé en comparaison d'autres PME, est en dessous de la moyenne</t>
    </r>
  </si>
  <si>
    <r>
      <t>SAVSME CMR SME6</t>
    </r>
    <r>
      <rPr>
        <sz val="11"/>
        <color theme="1"/>
        <rFont val="Calibri"/>
        <family val="2"/>
        <scheme val="minor"/>
      </rPr>
      <t xml:space="preserve"> (Score 6/10)                                                                                                                                                     Le niveau de solvabilité de la PME, validé en comparaison d'autres PME, est insuffisant</t>
    </r>
  </si>
  <si>
    <r>
      <rPr>
        <b/>
        <sz val="11"/>
        <color theme="1"/>
        <rFont val="Calibri"/>
        <family val="2"/>
        <scheme val="minor"/>
      </rPr>
      <t>SME1 Excellent (Score 1/10)</t>
    </r>
    <r>
      <rPr>
        <sz val="11"/>
        <color theme="1"/>
        <rFont val="Calibri"/>
        <family val="2"/>
        <scheme val="minor"/>
      </rPr>
      <t xml:space="preserve">
Situation économique et financière et visibilité excellentes :  forte position sur ses marchés, faible endettement par rapport aux fonds propres et au cash flow, peu sensible aux aléas conjoncturels (grande stabilité de la situation financière et des résultats à travers les cycles de son industrie et de l'économie en général). Sa taille et sa situation lui donnent un accès très facile aux marchés financiers. La capacité du débiteur à exécuter ses engagements financiers est TRES FORTE</t>
    </r>
  </si>
  <si>
    <r>
      <t xml:space="preserve">
</t>
    </r>
    <r>
      <rPr>
        <b/>
        <sz val="11"/>
        <color theme="1"/>
        <rFont val="Calibri"/>
        <family val="2"/>
        <scheme val="minor"/>
      </rPr>
      <t>SME2 Très Bon (Score 2/10)</t>
    </r>
    <r>
      <rPr>
        <sz val="11"/>
        <color theme="1"/>
        <rFont val="Calibri"/>
        <family val="2"/>
        <scheme val="minor"/>
      </rPr>
      <t xml:space="preserve">
La situation financière et le niveau de cash flow actuels sont très bons, avec un historique montrant une bonne stabilité, mais avec une légère sensibilité aux aléas conjoncturels. Endettement modéré par rapport aux fonds propres et au cash flow. Solide position sur ses marchés. Très bonne visibilité à court et moyen terme. Accès facile aux marchés financiers. Sa capacité à exécuter ses engagements financiers est FORTE.
</t>
    </r>
  </si>
  <si>
    <r>
      <rPr>
        <b/>
        <sz val="11"/>
        <color theme="1"/>
        <rFont val="Calibri"/>
        <family val="2"/>
        <scheme val="minor"/>
      </rPr>
      <t>SME3 Bon (Score 3/10)</t>
    </r>
    <r>
      <rPr>
        <sz val="11"/>
        <color theme="1"/>
        <rFont val="Calibri"/>
        <family val="2"/>
        <scheme val="minor"/>
      </rPr>
      <t xml:space="preserve">
Situation financière et cash flow convenables mais montrant quelque volatilité, et qui pourraient être affaiblis par une conjoncture (cycle) ou des évènements défavorables dont l'occurrence est possible. Endettement par rapport aux fonds propres et au cash flow dans la moyenne. Bonne visibilité à court et moyen terme. Possibilité d'accéder à de nouveaux financements dans une conjoncture normale.
Cette note s'applique aussi aux PME dont la situation financière est solide mais qui sont exclues des catégories précédentes en raison de leur taille.
</t>
    </r>
  </si>
  <si>
    <r>
      <rPr>
        <b/>
        <sz val="11"/>
        <color theme="1"/>
        <rFont val="Calibri"/>
        <family val="2"/>
        <scheme val="minor"/>
      </rPr>
      <t>SME4 Assez Bon (Score 4/10)</t>
    </r>
    <r>
      <rPr>
        <sz val="11"/>
        <color theme="1"/>
        <rFont val="Calibri"/>
        <family val="2"/>
        <scheme val="minor"/>
      </rPr>
      <t xml:space="preserve">
Situation financière et cash flow moyens, avec une plus grande volatilité de la situation financière et du cash flow. Il existe quelques facteurs de risque qui pourraient affaiblir la capacité du débiteur à exécuter ses engagements financiers. Cependant, visibilité satisfaisante à court et moyen terme. Accès restreint aux marchés financiers et plus coûteux, mais possibilité de développement des engagements avec ses banques.
</t>
    </r>
  </si>
  <si>
    <r>
      <rPr>
        <b/>
        <sz val="11"/>
        <color theme="1"/>
        <rFont val="Calibri"/>
        <family val="2"/>
        <scheme val="minor"/>
      </rPr>
      <t>SME5 Moyen (Score 5/10)</t>
    </r>
    <r>
      <rPr>
        <sz val="11"/>
        <color theme="1"/>
        <rFont val="Calibri"/>
        <family val="2"/>
        <scheme val="minor"/>
      </rPr>
      <t xml:space="preserve">
Cash flow suffisant pour le service de la dette. Les incertitudes sur les fondamentaux du débiteur et son exposition à divers risques (sectoriels, financiers, économiques) peuvent affecter à terme sa capacité à s'acquitter de ses obligations. Visibilité satisfaisante à court terme mais moins claire à moyen terme. Un accroissement des engagements auprès de ses banques reste encore envisageable. La qualité du management est un élément important de la décision. Accès aux marchés financiers limité, restreint et plus coûteux. 
</t>
    </r>
  </si>
  <si>
    <r>
      <rPr>
        <b/>
        <sz val="11"/>
        <color theme="1"/>
        <rFont val="Calibri"/>
        <family val="2"/>
        <scheme val="minor"/>
      </rPr>
      <t>SME8- Douteux et/ou compromis (Score 10/10)</t>
    </r>
    <r>
      <rPr>
        <sz val="11"/>
        <color theme="1"/>
        <rFont val="Calibri"/>
        <family val="2"/>
        <scheme val="minor"/>
      </rPr>
      <t xml:space="preserve">
L'existence d'échéances financières impayées en principal et/ou en intérêts depuis plus de 3 mois entraîne le classement dans cette catégorie.
Les débiteurs les plus faibles de cette catégorie sont dans une situation nettement dégradée et préoccupante quant à la bonne fin des crédits. Un dépôt de bilan est fortement possible. 
Ce niveau doit être suivi de très près. Le suivi doit être assortie d'objectifs précis (réduction des concours, amélioration des garanties, etc.). La gestion doit être centralisée (prise en charge par les équipes spécialisées dans la prévention de la défaillance).</t>
    </r>
  </si>
  <si>
    <r>
      <rPr>
        <b/>
        <sz val="11"/>
        <color theme="1"/>
        <rFont val="Calibri"/>
        <family val="2"/>
        <scheme val="minor"/>
      </rPr>
      <t>SME8 Très vulnérable (Score 9/10)</t>
    </r>
    <r>
      <rPr>
        <sz val="11"/>
        <color theme="1"/>
        <rFont val="Calibri"/>
        <family val="2"/>
        <scheme val="minor"/>
      </rPr>
      <t xml:space="preserve">
En l'absence d'amélioration de l'environnement (conjoncture et marché), et/ou de mesures drastiques de restructuration industrielle ou financière, la survie de l'entreprise serait en question.
Ce niveau doit être suivi de près et assorti d'objectifs précis pour réduire les risques (réduction des concours, garanties, etc.).
Normalement, il exclut  une entrée en relation ou un accroissement des engagements.</t>
    </r>
  </si>
  <si>
    <r>
      <rPr>
        <b/>
        <sz val="11"/>
        <color theme="1"/>
        <rFont val="Calibri"/>
        <family val="2"/>
        <scheme val="minor"/>
      </rPr>
      <t>SME7- Vulnérable (Score 8/10)</t>
    </r>
    <r>
      <rPr>
        <sz val="11"/>
        <color theme="1"/>
        <rFont val="Calibri"/>
        <family val="2"/>
        <scheme val="minor"/>
      </rPr>
      <t xml:space="preserve">
Une aggravation des risques économiques et financiers qui pèsent sur le débiteur le conduirait  vraisemblablement à faire défaut sur ses engagements financiers.
De nouvelles opérations ne peuvent être envisagées qu'avec une extrême rigueur dans la structuration et uniquement dans le cadre de politiques de crédit dûment autorisées.
</t>
    </r>
  </si>
  <si>
    <r>
      <rPr>
        <b/>
        <sz val="11"/>
        <color theme="1"/>
        <rFont val="Calibri"/>
        <family val="2"/>
        <scheme val="minor"/>
      </rPr>
      <t>SME7  Potentiellement vulnérable (Score 7/10)</t>
    </r>
    <r>
      <rPr>
        <sz val="11"/>
        <color theme="1"/>
        <rFont val="Calibri"/>
        <family val="2"/>
        <scheme val="minor"/>
      </rPr>
      <t xml:space="preserve">
Endettement important pour le secteur. Les risques sectoriels, financiers et économiques sont importants et insuffisamment compensés par les fondamentaux du débiteur qui ne présentent pas une qualité, une stabilité et une visibilité suffisantes.
Ce niveau nécessite un suivi attentif.
La qualité du management est un élément primordial de la décision. Ce niveau nécessite une grande exigence dans la structuration des opérations et une rémunération significative.
</t>
    </r>
  </si>
  <si>
    <r>
      <rPr>
        <b/>
        <sz val="11"/>
        <color theme="1"/>
        <rFont val="Calibri"/>
        <family val="2"/>
        <scheme val="minor"/>
      </rPr>
      <t>SME6 Acceptable (Score 6/10)</t>
    </r>
    <r>
      <rPr>
        <sz val="11"/>
        <color theme="1"/>
        <rFont val="Calibri"/>
        <family val="2"/>
        <scheme val="minor"/>
      </rPr>
      <t xml:space="preserve">
Les risques sectoriels, financiers et économiques sont importants mais devraient être compensés par les fondamentaux du débiteur. Possibilité limitée de trouver des financements en dehors de ses banques.
La qualité du management est un élément important de la décision.
Les opérations doivent être structurées (garanties, covenants) pour limiter le risque et la rémunération doit être accrue pour tenir compte de la prime de risque plus élevée.
</t>
    </r>
  </si>
  <si>
    <r>
      <t>SAVSME CMR SME8</t>
    </r>
    <r>
      <rPr>
        <sz val="11"/>
        <color theme="1"/>
        <rFont val="Calibri"/>
        <family val="2"/>
        <scheme val="minor"/>
      </rPr>
      <t xml:space="preserve"> (Score 9 à 10/10)                                                                                                                                                     Le niveau de solvabilité de la PME, validé en comparaison d'autres PME, est très bas. La PME présente un risque important de défaut.</t>
    </r>
  </si>
  <si>
    <r>
      <t>SAVSME CMR SME7</t>
    </r>
    <r>
      <rPr>
        <sz val="11"/>
        <color theme="1"/>
        <rFont val="Calibri"/>
        <family val="2"/>
        <scheme val="minor"/>
      </rPr>
      <t xml:space="preserve"> (Score 7 à 8/10)                                                                                                                                                    Le niveau de solvabilité de la PME, validé en comparaison d'autres PME, est bas</t>
    </r>
  </si>
  <si>
    <t xml:space="preserve">5. Potentiel de croissance et adéquation des besoins de financement </t>
  </si>
  <si>
    <t xml:space="preserve">Montant total du financement sollicité </t>
  </si>
  <si>
    <t>a) Investissements et besoins de financement</t>
  </si>
  <si>
    <t>Montant annuité estimée (crédit sur 1 à 3 ans à 10%) en FCFA/an</t>
  </si>
  <si>
    <t>GRILLE DE SCORING D'UNE EXPLOITATION DE CACAO</t>
  </si>
  <si>
    <t>Loyer / Cotisations / Divers / Imprévus</t>
  </si>
  <si>
    <t>Coordonnées GPS de la ferme (&lt; 4 ha) ou polygone (&gt; 4 ha)</t>
  </si>
  <si>
    <t>Très significatif</t>
  </si>
  <si>
    <t>Significatif</t>
  </si>
  <si>
    <t>Bon</t>
  </si>
  <si>
    <t>Plutôt Bon</t>
  </si>
  <si>
    <t>Moyen</t>
  </si>
  <si>
    <t>Plutôt Moyen</t>
  </si>
  <si>
    <t>Faible</t>
  </si>
  <si>
    <t>Limité</t>
  </si>
  <si>
    <t>Mauvais</t>
  </si>
  <si>
    <t>Très Mauvais</t>
  </si>
  <si>
    <t>Très bonne</t>
  </si>
  <si>
    <t>Bonne</t>
  </si>
  <si>
    <t>Moyenne</t>
  </si>
  <si>
    <t>Non</t>
  </si>
  <si>
    <t>Non ou très peu</t>
  </si>
  <si>
    <t>Peu</t>
  </si>
  <si>
    <t>Légèrement</t>
  </si>
  <si>
    <t>Modérément</t>
  </si>
  <si>
    <t>Fortement</t>
  </si>
  <si>
    <t>Très fortement</t>
  </si>
  <si>
    <t>Plutôt faibles</t>
  </si>
  <si>
    <t>Faibles</t>
  </si>
  <si>
    <t>Suffisants</t>
  </si>
  <si>
    <t>Insuffisants</t>
  </si>
  <si>
    <t>Très insuffisants</t>
  </si>
  <si>
    <t>]1,8 ; 1,6 ]</t>
  </si>
  <si>
    <t>]1,6 ; 1,4 ]</t>
  </si>
  <si>
    <t>]1,4 ; 1,2 ]</t>
  </si>
  <si>
    <t>]1 ; 0,8 ]</t>
  </si>
  <si>
    <t>]0,8 ; 0,5 ]</t>
  </si>
  <si>
    <t>]0,5 ; 0,2 ]</t>
  </si>
  <si>
    <t>(&lt; 0,2)</t>
  </si>
  <si>
    <t>(&lt; 1)</t>
  </si>
  <si>
    <t>]1; 1,5 ]</t>
  </si>
  <si>
    <t>]1,5 ; 2]</t>
  </si>
  <si>
    <t>]2 ; 3 ]</t>
  </si>
  <si>
    <t>]3  ; 3,4 ]</t>
  </si>
  <si>
    <t>]3,4 ; 3,8 ]</t>
  </si>
  <si>
    <t>]3,8 ; 4 ]</t>
  </si>
  <si>
    <t>]4 ; 4,4 ]</t>
  </si>
  <si>
    <t>]4,4 ; 5 ]</t>
  </si>
  <si>
    <t>(&gt; 5)</t>
  </si>
  <si>
    <t>&gt;6</t>
  </si>
  <si>
    <t>&gt;5</t>
  </si>
  <si>
    <t>&gt;4</t>
  </si>
  <si>
    <t>&gt;3</t>
  </si>
  <si>
    <t>&lt;3</t>
  </si>
  <si>
    <t>&lt;2</t>
  </si>
  <si>
    <t>&lt;1,5</t>
  </si>
  <si>
    <t>&lt;1</t>
  </si>
  <si>
    <t>&lt;0,5</t>
  </si>
  <si>
    <t>&gt;35%</t>
  </si>
  <si>
    <t>&gt;30%</t>
  </si>
  <si>
    <t>&lt;25%</t>
  </si>
  <si>
    <t>&lt;15%</t>
  </si>
  <si>
    <t>&lt;10%</t>
  </si>
  <si>
    <t>( &gt; 2)</t>
  </si>
  <si>
    <t>]2 ; 1,8 ]</t>
  </si>
  <si>
    <t>]1,2 ; 1 ]</t>
  </si>
  <si>
    <t>&gt;50%</t>
  </si>
  <si>
    <t>&gt;45%</t>
  </si>
  <si>
    <t>&gt;40%</t>
  </si>
  <si>
    <t>=30%</t>
  </si>
  <si>
    <t>&lt;30%</t>
  </si>
  <si>
    <t>(&lt; 10)</t>
  </si>
  <si>
    <t>]40 ; 50 ]</t>
  </si>
  <si>
    <t>]50 ; 60 ]</t>
  </si>
  <si>
    <t>( &gt;90 )</t>
  </si>
  <si>
    <t>[90 ; 80 ]</t>
  </si>
  <si>
    <t>]80 ; 70 ]</t>
  </si>
  <si>
    <t>]70 ; 60 ]</t>
  </si>
  <si>
    <t>]60 ; 50 ]</t>
  </si>
  <si>
    <t>]50 ; 40 ]</t>
  </si>
  <si>
    <t>]40 ; 30 ]</t>
  </si>
  <si>
    <t>]30 ; 20 ]</t>
  </si>
  <si>
    <t>]20 ; 10 ]</t>
  </si>
  <si>
    <t>Très fiable</t>
  </si>
  <si>
    <t>Fiable</t>
  </si>
  <si>
    <t>Plutôt fiable</t>
  </si>
  <si>
    <t>Moyennement fiable</t>
  </si>
  <si>
    <t>Pas toujours fiable</t>
  </si>
  <si>
    <t>Peu fiable</t>
  </si>
  <si>
    <t>Peu ou pas fiable</t>
  </si>
  <si>
    <t>Pas fiable</t>
  </si>
  <si>
    <t>Oui, sous délai</t>
  </si>
  <si>
    <t>VALEURS DES SOUS-CRITERES</t>
  </si>
  <si>
    <t>Propriétaire / Dirigeant</t>
  </si>
  <si>
    <t>Propriétaire Non-dirigeant</t>
  </si>
  <si>
    <t>Héritier / Professionnel</t>
  </si>
  <si>
    <t>Héritier Non-professionnel</t>
  </si>
  <si>
    <t>Location</t>
  </si>
  <si>
    <t>Usufruitier / Professionnel</t>
  </si>
  <si>
    <t>Usufruitier Non-professionnel</t>
  </si>
  <si>
    <t>NS</t>
  </si>
  <si>
    <t>[8 ; 10 ]</t>
  </si>
  <si>
    <t>[10 ; 15 ]</t>
  </si>
  <si>
    <t>]15 ; 20 ]</t>
  </si>
  <si>
    <t>]20 ; 25]</t>
  </si>
  <si>
    <t>]25 ; 30 ]</t>
  </si>
  <si>
    <t>]30 ; 40 ]</t>
  </si>
  <si>
    <t>]60 ; 70 ]</t>
  </si>
  <si>
    <t>Importants / adaptés</t>
  </si>
  <si>
    <t>Importants / bien adaptés</t>
  </si>
  <si>
    <t>Assez  importants</t>
  </si>
  <si>
    <t>Très bien positionné</t>
  </si>
  <si>
    <t>Plutôt bien positionné</t>
  </si>
  <si>
    <t>Assez bien positionné</t>
  </si>
  <si>
    <t>Moyennement positionné</t>
  </si>
  <si>
    <t>Plutôt mal positionné et/ou étroit</t>
  </si>
  <si>
    <t>Mal positionné et/ou très étroit</t>
  </si>
  <si>
    <t>Renouvellement non assuré</t>
  </si>
  <si>
    <t>Obsolescence marquée</t>
  </si>
  <si>
    <t>( &gt;1200 )</t>
  </si>
  <si>
    <t>]1200 ; 1000 ]</t>
  </si>
  <si>
    <t>]1000 ; 800 ]</t>
  </si>
  <si>
    <t>]800 ; 700 ]</t>
  </si>
  <si>
    <t>]700 ; 600 ]</t>
  </si>
  <si>
    <t>]600 ; 500 ]</t>
  </si>
  <si>
    <t>]500 ; 400 ]</t>
  </si>
  <si>
    <t>]400 ; 300 ]</t>
  </si>
  <si>
    <t>]300 ; 200 ]</t>
  </si>
  <si>
    <t>(&lt; 200)</t>
  </si>
  <si>
    <t>( &gt;1000 )</t>
  </si>
  <si>
    <t>]1000 ; 900 ]</t>
  </si>
  <si>
    <t>]900 ; 800 ]</t>
  </si>
  <si>
    <t>Volatilité Prix de vente prévu/kg</t>
  </si>
  <si>
    <t>Extrêmement bien positionné</t>
  </si>
  <si>
    <t>Production totale estimée en KG /an</t>
  </si>
  <si>
    <t>]15 000 ; 10 000 ]</t>
  </si>
  <si>
    <t>]10 000 ; 7 000 ]</t>
  </si>
  <si>
    <t>]3 000 ; 2 000 ]</t>
  </si>
  <si>
    <t>]2 000 ; 1 000 ]</t>
  </si>
  <si>
    <t>]4 000 ; 3 000 ]</t>
  </si>
  <si>
    <t>]1 000 ; 500 ]</t>
  </si>
  <si>
    <t>]7 000 ; 4 000 ]</t>
  </si>
  <si>
    <t>( &gt;15 000 )</t>
  </si>
  <si>
    <t>Densité (plants/ha) ~1 200</t>
  </si>
  <si>
    <t>% Chiffre d’affaires annuel sous contrat</t>
  </si>
  <si>
    <t>Morale / Facilité de réalisation</t>
  </si>
  <si>
    <t>Historique de crédit / Qualité du comportement financier</t>
  </si>
  <si>
    <t>Matérielles / Facilité de réalisation</t>
  </si>
  <si>
    <t>Autres (Caution mutuelle, gage, etc.)</t>
  </si>
  <si>
    <t>Oui, rapidement et importants</t>
  </si>
  <si>
    <t>Oui, assez rapidement et assez importants</t>
  </si>
  <si>
    <t>Surface financière limitée</t>
  </si>
  <si>
    <t>Surface financière faible</t>
  </si>
  <si>
    <t>Surface financière très faible</t>
  </si>
  <si>
    <t>Patrimoine insignifiant</t>
  </si>
  <si>
    <t>Non, pas de patrimoine perso</t>
  </si>
  <si>
    <t>Non, pas du tout de patrimoine</t>
  </si>
  <si>
    <t>Très modérés</t>
  </si>
  <si>
    <t>Modérés</t>
  </si>
  <si>
    <t>Plutôt sensibles</t>
  </si>
  <si>
    <t>Assez sensibles</t>
  </si>
  <si>
    <t>Sensibles</t>
  </si>
  <si>
    <t>Assez forts</t>
  </si>
  <si>
    <t>Forts</t>
  </si>
  <si>
    <t>Très forts</t>
  </si>
  <si>
    <t>Extrêmement Forts</t>
  </si>
  <si>
    <t>%Résultat net prévisionnel/CA (&gt;30%)</t>
  </si>
  <si>
    <r>
      <t>% Main d’œuvre (entretien + récolte) / CA</t>
    </r>
    <r>
      <rPr>
        <b/>
        <sz val="11"/>
        <color theme="1"/>
        <rFont val="Cambria"/>
        <family val="1"/>
      </rPr>
      <t xml:space="preserve"> (&lt;20%)</t>
    </r>
  </si>
  <si>
    <r>
      <t xml:space="preserve">% Intrants (engrais, traitements) / CA  </t>
    </r>
    <r>
      <rPr>
        <b/>
        <sz val="11"/>
        <color theme="1"/>
        <rFont val="Cambria"/>
        <family val="1"/>
      </rPr>
      <t>(&lt;7%)</t>
    </r>
  </si>
  <si>
    <r>
      <t xml:space="preserve">% Matériel (petits outils) / CA  </t>
    </r>
    <r>
      <rPr>
        <b/>
        <sz val="11"/>
        <color theme="1"/>
        <rFont val="Cambria"/>
        <family val="1"/>
      </rPr>
      <t>(&lt;3%)</t>
    </r>
  </si>
  <si>
    <r>
      <t xml:space="preserve">% Transport / Collecte / CA  </t>
    </r>
    <r>
      <rPr>
        <b/>
        <sz val="11"/>
        <color theme="1"/>
        <rFont val="Cambria"/>
        <family val="1"/>
      </rPr>
      <t>(&lt;7%)</t>
    </r>
  </si>
  <si>
    <r>
      <t xml:space="preserve">% Loyer, Cotisations, Divers, Imprévus / CA  </t>
    </r>
    <r>
      <rPr>
        <b/>
        <sz val="11"/>
        <color theme="1"/>
        <rFont val="Cambria"/>
        <family val="1"/>
      </rPr>
      <t>(&lt;3%)</t>
    </r>
  </si>
  <si>
    <t>(&lt; 9)</t>
  </si>
  <si>
    <t>]9; 8,4 ]</t>
  </si>
  <si>
    <t>]8,4 ; 8]</t>
  </si>
  <si>
    <t>]8 ; 7,8 ]</t>
  </si>
  <si>
    <t>]7,8  ; 7,4 ]</t>
  </si>
  <si>
    <t>]7,4 ; 7]</t>
  </si>
  <si>
    <t>]7 ; 6 ]</t>
  </si>
  <si>
    <t>]6 ; 5,5 ]</t>
  </si>
  <si>
    <t>]5,5 ; 5 ]</t>
  </si>
  <si>
    <t>(&lt; 33)</t>
  </si>
  <si>
    <t>]33; 29 ]</t>
  </si>
  <si>
    <t>]29 ; 27]</t>
  </si>
  <si>
    <t>]27 ; 25 ]</t>
  </si>
  <si>
    <t>]23  ; 20]</t>
  </si>
  <si>
    <t>]25  ; 23]</t>
  </si>
  <si>
    <t>]20 ; 13 ]</t>
  </si>
  <si>
    <t>]13 ; 10]</t>
  </si>
  <si>
    <t>]10 ; 7]</t>
  </si>
  <si>
    <t>(&gt; 7)</t>
  </si>
  <si>
    <t>b) Liquidité générale (Ration de Fonds de roulement)</t>
  </si>
  <si>
    <t>Dettes courantes (Fournisseur, Coops, Tiers)</t>
  </si>
  <si>
    <t>Besoins de trésorerie de campagne (intrants, main d'œuvre, etc.)</t>
  </si>
  <si>
    <t>Ratio de fonds de roulement (Besoins/Dettes) &gt;1</t>
  </si>
  <si>
    <t>a) Adéquation des Investissements impact sur la production et le rendement</t>
  </si>
  <si>
    <t>-</t>
  </si>
  <si>
    <t>Chiffre d'affaires annuel et tendance structucturelle de l'activité</t>
  </si>
  <si>
    <t>Plutôt en stagnation</t>
  </si>
  <si>
    <t>Plutôt en baisse</t>
  </si>
  <si>
    <t>En baisse sensible</t>
  </si>
  <si>
    <t>En forte baisse</t>
  </si>
  <si>
    <t xml:space="preserve">Secteur en difficulté ou  en déclin </t>
  </si>
  <si>
    <t>CRITERES, SOUS-CRITERES, DONNEES ET VARIABLES D'AJUSTEMENT ET DE NOTATION EXPLOITATION CACAO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</si>
</sst>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FCFA&quot;;[Red]\-#,##0\ &quot;FCFA&quot;"/>
    <numFmt numFmtId="164" formatCode="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3"/>
      <color rgb="FF4F81BD"/>
      <name val="Calibri"/>
      <family val="2"/>
      <scheme val="minor"/>
    </font>
    <font>
      <sz val="11"/>
      <color theme="1"/>
      <name val="Cambria"/>
      <family val="1"/>
    </font>
    <font>
      <b/>
      <sz val="11"/>
      <color theme="1"/>
      <name val="Cambria"/>
      <family val="1"/>
    </font>
    <font>
      <b/>
      <sz val="13"/>
      <color theme="4"/>
      <name val="Calibri"/>
      <family val="2"/>
      <scheme val="minor"/>
    </font>
    <font>
      <b/>
      <sz val="18"/>
      <color theme="1"/>
      <name val="Cambria"/>
      <family val="1"/>
    </font>
    <font>
      <b/>
      <sz val="10"/>
      <color theme="1"/>
      <name val="Cambria"/>
      <family val="1"/>
    </font>
    <font>
      <b/>
      <sz val="12"/>
      <color rgb="FF000000"/>
      <name val="Arial"/>
      <family val="2"/>
    </font>
    <font>
      <b/>
      <i/>
      <sz val="10"/>
      <color rgb="FF000000"/>
      <name val="Arial"/>
      <family val="2"/>
    </font>
    <font>
      <b/>
      <sz val="10"/>
      <color rgb="FF000000"/>
      <name val="Arial"/>
      <family val="2"/>
    </font>
    <font>
      <sz val="10"/>
      <color theme="1"/>
      <name val="Cambria"/>
      <family val="1"/>
    </font>
    <font>
      <sz val="9"/>
      <color theme="1"/>
      <name val="Cambria"/>
      <family val="1"/>
    </font>
    <font>
      <b/>
      <sz val="12"/>
      <color rgb="FF000000"/>
      <name val="Cambria"/>
      <family val="1"/>
    </font>
    <font>
      <b/>
      <sz val="13"/>
      <color rgb="FF4F81BD"/>
      <name val="Cambria"/>
      <family val="1"/>
    </font>
    <font>
      <b/>
      <sz val="13"/>
      <color theme="4"/>
      <name val="Cambria"/>
      <family val="1"/>
    </font>
    <font>
      <sz val="11"/>
      <name val="Cambria"/>
      <family val="1"/>
    </font>
    <font>
      <sz val="9"/>
      <name val="Cambria"/>
      <family val="1"/>
    </font>
    <font>
      <sz val="8"/>
      <name val="Cambria"/>
      <family val="1"/>
    </font>
    <font>
      <sz val="10"/>
      <name val="Cambria"/>
      <family val="1"/>
    </font>
    <font>
      <sz val="8"/>
      <color rgb="FF333333"/>
      <name val="Cambria"/>
      <family val="1"/>
    </font>
  </fonts>
  <fills count="3">
    <fill>
      <patternFill patternType="none"/>
    </fill>
    <fill>
      <patternFill patternType="gray125"/>
    </fill>
    <fill>
      <patternFill patternType="solid">
        <fgColor rgb="FFF2F2F2"/>
        <bgColor rgb="FF000000"/>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rgb="FFBFBFBF"/>
      </left>
      <right style="medium">
        <color rgb="FFBFBFBF"/>
      </right>
      <top style="medium">
        <color rgb="FFBFBFBF"/>
      </top>
      <bottom style="medium">
        <color rgb="FFBFBFBF"/>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26">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xf numFmtId="0" fontId="5" fillId="0" borderId="0" xfId="0" applyFont="1" applyBorder="1" applyAlignment="1">
      <alignment vertical="center" wrapText="1"/>
    </xf>
    <xf numFmtId="0" fontId="0" fillId="0" borderId="0" xfId="0" applyAlignment="1">
      <alignment horizontal="center"/>
    </xf>
    <xf numFmtId="0" fontId="3" fillId="0" borderId="1" xfId="0" applyFont="1" applyBorder="1" applyAlignment="1">
      <alignment vertical="center"/>
    </xf>
    <xf numFmtId="0" fontId="0" fillId="0" borderId="1" xfId="0" applyBorder="1"/>
    <xf numFmtId="0" fontId="4"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horizontal="left"/>
    </xf>
    <xf numFmtId="6" fontId="4" fillId="0" borderId="1" xfId="0" applyNumberFormat="1" applyFont="1" applyBorder="1" applyAlignment="1">
      <alignment horizontal="left" vertical="center" wrapText="1"/>
    </xf>
    <xf numFmtId="3" fontId="4" fillId="0" borderId="1" xfId="0" applyNumberFormat="1" applyFont="1" applyBorder="1" applyAlignment="1">
      <alignment horizontal="left" vertical="center" wrapText="1"/>
    </xf>
    <xf numFmtId="3" fontId="5"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0" fontId="4" fillId="0" borderId="0" xfId="0" applyFont="1" applyBorder="1" applyAlignment="1">
      <alignment vertical="center" wrapText="1"/>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0" fontId="3" fillId="0" borderId="1" xfId="0" applyFont="1" applyBorder="1" applyAlignment="1">
      <alignment horizontal="center" vertical="center"/>
    </xf>
    <xf numFmtId="0" fontId="0" fillId="0" borderId="0" xfId="0" applyBorder="1" applyAlignment="1">
      <alignment horizontal="center"/>
    </xf>
    <xf numFmtId="9" fontId="6" fillId="0" borderId="1" xfId="0" applyNumberFormat="1" applyFont="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8" fillId="0" borderId="1" xfId="0" applyFont="1" applyBorder="1" applyAlignment="1">
      <alignment horizontal="center" vertical="center" wrapText="1"/>
    </xf>
    <xf numFmtId="9" fontId="0" fillId="0" borderId="1" xfId="1" applyFont="1" applyBorder="1" applyAlignment="1">
      <alignment horizontal="center"/>
    </xf>
    <xf numFmtId="4" fontId="6" fillId="0" borderId="1" xfId="1" applyNumberFormat="1" applyFont="1" applyBorder="1" applyAlignment="1">
      <alignment horizontal="center"/>
    </xf>
    <xf numFmtId="9" fontId="6" fillId="0" borderId="1" xfId="0" applyNumberFormat="1" applyFont="1" applyBorder="1" applyAlignment="1">
      <alignment horizontal="center" vertical="center"/>
    </xf>
    <xf numFmtId="4" fontId="6" fillId="0" borderId="1" xfId="1" applyNumberFormat="1" applyFont="1" applyBorder="1" applyAlignment="1">
      <alignment horizontal="center" vertical="center"/>
    </xf>
    <xf numFmtId="0" fontId="0" fillId="0" borderId="1" xfId="0" applyBorder="1" applyAlignment="1">
      <alignment horizontal="center" vertical="center"/>
    </xf>
    <xf numFmtId="164" fontId="0" fillId="0" borderId="1" xfId="1" applyNumberFormat="1" applyFont="1" applyBorder="1" applyAlignment="1">
      <alignment horizontal="center"/>
    </xf>
    <xf numFmtId="9" fontId="0" fillId="0" borderId="1" xfId="1" applyFont="1" applyBorder="1" applyAlignment="1">
      <alignment horizontal="center" vertical="center"/>
    </xf>
    <xf numFmtId="6" fontId="5" fillId="0" borderId="1" xfId="0" applyNumberFormat="1" applyFont="1" applyBorder="1" applyAlignment="1">
      <alignment horizontal="left" vertical="center" wrapText="1"/>
    </xf>
    <xf numFmtId="9" fontId="2" fillId="0" borderId="1" xfId="0" applyNumberFormat="1" applyFont="1" applyBorder="1" applyAlignment="1">
      <alignment horizontal="center"/>
    </xf>
    <xf numFmtId="164" fontId="2" fillId="0" borderId="1" xfId="0" applyNumberFormat="1" applyFont="1" applyBorder="1" applyAlignment="1">
      <alignment horizontal="center"/>
    </xf>
    <xf numFmtId="164" fontId="0" fillId="0" borderId="1" xfId="1" applyNumberFormat="1" applyFont="1" applyBorder="1" applyAlignment="1">
      <alignment horizontal="center" vertical="center"/>
    </xf>
    <xf numFmtId="0" fontId="2" fillId="0" borderId="1" xfId="0" applyFont="1" applyBorder="1" applyAlignment="1">
      <alignment vertical="center" wrapText="1"/>
    </xf>
    <xf numFmtId="0" fontId="0" fillId="0" borderId="0" xfId="0" applyAlignment="1">
      <alignment wrapText="1"/>
    </xf>
    <xf numFmtId="0" fontId="2" fillId="0" borderId="0" xfId="0" applyFont="1" applyAlignment="1">
      <alignment wrapText="1"/>
    </xf>
    <xf numFmtId="0" fontId="9" fillId="0" borderId="0" xfId="0" applyFont="1" applyAlignment="1">
      <alignment horizontal="left" vertical="center" readingOrder="1"/>
    </xf>
    <xf numFmtId="0" fontId="10" fillId="0" borderId="0" xfId="0" applyFont="1" applyAlignment="1">
      <alignment horizontal="left" vertical="center" readingOrder="1"/>
    </xf>
    <xf numFmtId="0" fontId="0" fillId="0" borderId="1" xfId="0" applyBorder="1" applyAlignment="1">
      <alignment vertical="center" wrapText="1"/>
    </xf>
    <xf numFmtId="0" fontId="0" fillId="0" borderId="1" xfId="0" applyBorder="1" applyAlignment="1">
      <alignment wrapText="1"/>
    </xf>
    <xf numFmtId="0" fontId="11" fillId="0" borderId="4" xfId="0" applyFont="1" applyBorder="1" applyAlignment="1">
      <alignment horizontal="justify" vertical="center"/>
    </xf>
    <xf numFmtId="0" fontId="5" fillId="0" borderId="1" xfId="0" applyFont="1" applyBorder="1" applyAlignment="1">
      <alignment horizontal="center" vertical="center" wrapText="1"/>
    </xf>
    <xf numFmtId="0" fontId="7" fillId="0" borderId="0" xfId="0" applyFont="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12" fillId="0" borderId="1" xfId="0" applyFont="1" applyBorder="1" applyAlignment="1">
      <alignment horizontal="center" vertical="center" wrapText="1"/>
    </xf>
    <xf numFmtId="9" fontId="4" fillId="0" borderId="1" xfId="0" applyNumberFormat="1" applyFont="1" applyBorder="1" applyAlignment="1">
      <alignment horizontal="left" vertical="center" wrapText="1"/>
    </xf>
    <xf numFmtId="0" fontId="4" fillId="0" borderId="0" xfId="0" applyFont="1" applyAlignment="1">
      <alignment vertical="center"/>
    </xf>
    <xf numFmtId="0" fontId="15" fillId="0" borderId="1" xfId="0" applyFont="1" applyBorder="1" applyAlignment="1">
      <alignment horizontal="center" vertical="center"/>
    </xf>
    <xf numFmtId="9" fontId="16" fillId="0" borderId="1" xfId="0" applyNumberFormat="1" applyFont="1" applyBorder="1" applyAlignment="1">
      <alignment horizontal="center" vertical="center"/>
    </xf>
    <xf numFmtId="4" fontId="16" fillId="0" borderId="1" xfId="1" applyNumberFormat="1" applyFont="1" applyBorder="1" applyAlignment="1">
      <alignment horizontal="center" vertical="center"/>
    </xf>
    <xf numFmtId="9" fontId="4" fillId="0" borderId="1" xfId="1" applyFont="1" applyBorder="1" applyAlignment="1">
      <alignment horizontal="center" vertical="center"/>
    </xf>
    <xf numFmtId="0" fontId="4" fillId="0" borderId="1" xfId="0" applyFont="1" applyBorder="1" applyAlignment="1">
      <alignment horizontal="center" vertical="center"/>
    </xf>
    <xf numFmtId="0" fontId="17" fillId="0" borderId="1" xfId="0" applyFont="1" applyBorder="1" applyAlignment="1">
      <alignment horizontal="center" vertical="center"/>
    </xf>
    <xf numFmtId="0" fontId="17" fillId="0" borderId="7" xfId="0" applyFont="1" applyBorder="1" applyAlignment="1">
      <alignment horizontal="center" vertical="center"/>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19" fillId="0" borderId="1" xfId="0" applyFont="1" applyBorder="1" applyAlignment="1">
      <alignment horizontal="center" vertical="center"/>
    </xf>
    <xf numFmtId="0" fontId="4" fillId="0" borderId="1" xfId="0" applyFont="1" applyBorder="1" applyAlignment="1">
      <alignment horizontal="left" vertical="center"/>
    </xf>
    <xf numFmtId="0" fontId="20" fillId="0" borderId="1" xfId="0" applyFont="1" applyBorder="1" applyAlignment="1">
      <alignment horizontal="center" vertical="center"/>
    </xf>
    <xf numFmtId="0" fontId="20" fillId="0" borderId="7" xfId="0" applyFont="1" applyBorder="1" applyAlignment="1">
      <alignment horizontal="center" vertical="center"/>
    </xf>
    <xf numFmtId="0" fontId="19" fillId="0" borderId="7" xfId="0" applyFont="1" applyBorder="1" applyAlignment="1">
      <alignment horizontal="center" vertical="center"/>
    </xf>
    <xf numFmtId="0" fontId="21" fillId="0" borderId="1" xfId="0" applyFont="1" applyBorder="1" applyAlignment="1">
      <alignment horizontal="center" vertical="center"/>
    </xf>
    <xf numFmtId="164" fontId="4" fillId="0" borderId="1" xfId="1" applyNumberFormat="1" applyFont="1" applyBorder="1" applyAlignment="1">
      <alignment horizontal="center" vertical="center"/>
    </xf>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49" fontId="17"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9" fontId="4" fillId="0" borderId="1" xfId="1" applyFont="1" applyBorder="1" applyAlignment="1">
      <alignment horizontal="left" vertical="center"/>
    </xf>
    <xf numFmtId="0" fontId="15" fillId="0" borderId="1" xfId="0" applyFont="1" applyBorder="1" applyAlignment="1">
      <alignment horizontal="left" vertical="center"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4" fontId="16" fillId="0" borderId="13" xfId="1" applyNumberFormat="1" applyFont="1" applyBorder="1" applyAlignment="1">
      <alignment horizontal="center" vertical="center"/>
    </xf>
    <xf numFmtId="4" fontId="16" fillId="0" borderId="7" xfId="1" applyNumberFormat="1" applyFont="1" applyBorder="1" applyAlignment="1">
      <alignment horizontal="center" vertical="center"/>
    </xf>
    <xf numFmtId="0" fontId="12" fillId="0" borderId="13" xfId="0" applyFont="1" applyBorder="1" applyAlignment="1">
      <alignment horizontal="left" vertical="center" wrapText="1"/>
    </xf>
    <xf numFmtId="0" fontId="12" fillId="0" borderId="7" xfId="0" applyFont="1" applyBorder="1" applyAlignment="1">
      <alignment horizontal="center" vertical="center" wrapText="1"/>
    </xf>
    <xf numFmtId="0" fontId="17" fillId="0" borderId="13" xfId="0" applyFont="1" applyBorder="1" applyAlignment="1">
      <alignment horizontal="center" vertical="center"/>
    </xf>
    <xf numFmtId="0" fontId="18" fillId="0" borderId="13"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13" xfId="0" applyFont="1" applyBorder="1" applyAlignment="1">
      <alignment horizontal="center" vertical="center"/>
    </xf>
    <xf numFmtId="0" fontId="12" fillId="0" borderId="7" xfId="0" applyFont="1" applyBorder="1" applyAlignment="1">
      <alignment horizontal="left" vertical="center" wrapText="1"/>
    </xf>
    <xf numFmtId="0" fontId="20" fillId="0" borderId="13" xfId="0" applyFont="1" applyBorder="1" applyAlignment="1">
      <alignment horizontal="center" vertical="center"/>
    </xf>
    <xf numFmtId="0" fontId="12" fillId="0" borderId="13" xfId="0" applyFont="1" applyBorder="1" applyAlignment="1">
      <alignment horizontal="center" vertical="center" wrapText="1"/>
    </xf>
    <xf numFmtId="0" fontId="12" fillId="0" borderId="14"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15" fillId="0" borderId="13" xfId="0" applyFont="1" applyBorder="1" applyAlignment="1">
      <alignment vertical="center"/>
    </xf>
    <xf numFmtId="0" fontId="4" fillId="0" borderId="13" xfId="0" applyFont="1" applyBorder="1" applyAlignment="1">
      <alignment vertical="center" wrapText="1"/>
    </xf>
    <xf numFmtId="0" fontId="4" fillId="0" borderId="7" xfId="0" applyFont="1" applyBorder="1" applyAlignment="1">
      <alignment horizontal="center" vertical="center"/>
    </xf>
    <xf numFmtId="0" fontId="5" fillId="0" borderId="13" xfId="0" applyFont="1" applyBorder="1" applyAlignment="1">
      <alignment vertical="center" wrapText="1"/>
    </xf>
    <xf numFmtId="0" fontId="15" fillId="0" borderId="13" xfId="0" applyFont="1" applyBorder="1" applyAlignment="1">
      <alignment horizontal="left" vertical="center" wrapText="1"/>
    </xf>
    <xf numFmtId="0" fontId="5" fillId="0" borderId="7" xfId="0" applyFont="1" applyBorder="1" applyAlignment="1">
      <alignment horizontal="center" vertical="center"/>
    </xf>
    <xf numFmtId="0" fontId="5" fillId="0" borderId="13" xfId="0" applyFont="1" applyBorder="1" applyAlignment="1">
      <alignment vertical="center"/>
    </xf>
    <xf numFmtId="0" fontId="5" fillId="0" borderId="13" xfId="0" applyFont="1" applyBorder="1" applyAlignment="1">
      <alignment horizontal="left" vertical="center" wrapText="1"/>
    </xf>
    <xf numFmtId="0" fontId="15" fillId="0" borderId="14" xfId="0" applyFont="1" applyBorder="1" applyAlignment="1">
      <alignment horizontal="center" vertical="center"/>
    </xf>
    <xf numFmtId="0" fontId="15" fillId="0" borderId="8" xfId="0" applyFont="1" applyBorder="1" applyAlignment="1">
      <alignment horizontal="center" vertical="center"/>
    </xf>
    <xf numFmtId="9" fontId="16" fillId="0" borderId="8" xfId="0" applyNumberFormat="1" applyFont="1" applyBorder="1" applyAlignment="1">
      <alignment horizontal="center" vertical="center"/>
    </xf>
    <xf numFmtId="4" fontId="16" fillId="0" borderId="8" xfId="1" applyNumberFormat="1" applyFont="1" applyBorder="1" applyAlignment="1">
      <alignment horizontal="center" vertical="center"/>
    </xf>
    <xf numFmtId="4" fontId="16" fillId="0" borderId="9" xfId="1" applyNumberFormat="1" applyFont="1" applyBorder="1" applyAlignment="1">
      <alignment horizontal="center" vertical="center"/>
    </xf>
    <xf numFmtId="0" fontId="5" fillId="0" borderId="15"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center" vertical="center" wrapText="1"/>
    </xf>
    <xf numFmtId="0" fontId="8"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4" fillId="2" borderId="1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517FD-3708-44C9-AEF9-B8F4C62EB076}">
  <dimension ref="A1:E58"/>
  <sheetViews>
    <sheetView showGridLines="0" zoomScale="130" zoomScaleNormal="130" workbookViewId="0">
      <selection activeCell="A8" sqref="A8:E58"/>
    </sheetView>
  </sheetViews>
  <sheetFormatPr baseColWidth="10" defaultRowHeight="14.5" x14ac:dyDescent="0.35"/>
  <cols>
    <col min="1" max="1" width="42" customWidth="1"/>
    <col min="2" max="2" width="42.7265625" customWidth="1"/>
    <col min="3" max="4" width="10.90625" style="5"/>
    <col min="5" max="5" width="11.81640625" style="5" customWidth="1"/>
  </cols>
  <sheetData>
    <row r="1" spans="1:5" s="1" customFormat="1" ht="43.5" customHeight="1" x14ac:dyDescent="0.35">
      <c r="A1" s="47" t="s">
        <v>96</v>
      </c>
      <c r="B1" s="47"/>
      <c r="C1" s="47"/>
      <c r="D1" s="47"/>
      <c r="E1" s="47"/>
    </row>
    <row r="2" spans="1:5" x14ac:dyDescent="0.35">
      <c r="A2" s="4" t="s">
        <v>0</v>
      </c>
      <c r="B2" s="20" t="s">
        <v>1</v>
      </c>
      <c r="C2" s="22"/>
      <c r="D2" s="22"/>
      <c r="E2" s="22"/>
    </row>
    <row r="3" spans="1:5" x14ac:dyDescent="0.35">
      <c r="A3" s="4" t="s">
        <v>2</v>
      </c>
      <c r="B3" s="20" t="s">
        <v>3</v>
      </c>
      <c r="C3" s="22"/>
      <c r="D3" s="22"/>
      <c r="E3" s="22"/>
    </row>
    <row r="4" spans="1:5" x14ac:dyDescent="0.35">
      <c r="A4" s="4" t="s">
        <v>4</v>
      </c>
      <c r="B4" s="20" t="s">
        <v>5</v>
      </c>
      <c r="C4" s="22"/>
      <c r="D4" s="22"/>
      <c r="E4" s="22"/>
    </row>
    <row r="5" spans="1:5" ht="15" thickBot="1" x14ac:dyDescent="0.4">
      <c r="A5" s="4" t="s">
        <v>8</v>
      </c>
      <c r="B5" s="20">
        <v>2015</v>
      </c>
      <c r="C5" s="22"/>
      <c r="D5" s="22"/>
      <c r="E5" s="22"/>
    </row>
    <row r="6" spans="1:5" ht="26.5" thickBot="1" x14ac:dyDescent="0.4">
      <c r="A6" s="45" t="s">
        <v>98</v>
      </c>
      <c r="B6" s="20"/>
      <c r="C6" s="22"/>
      <c r="D6" s="22"/>
      <c r="E6" s="22"/>
    </row>
    <row r="7" spans="1:5" ht="27" customHeight="1" x14ac:dyDescent="0.35">
      <c r="A7" s="18"/>
      <c r="B7" s="19"/>
      <c r="C7" s="22"/>
      <c r="D7" s="22"/>
      <c r="E7" s="22"/>
    </row>
    <row r="8" spans="1:5" ht="25" x14ac:dyDescent="0.35">
      <c r="A8" s="46" t="s">
        <v>54</v>
      </c>
      <c r="B8" s="46"/>
      <c r="C8" s="11" t="s">
        <v>40</v>
      </c>
      <c r="D8" s="26" t="s">
        <v>41</v>
      </c>
      <c r="E8" s="11" t="s">
        <v>58</v>
      </c>
    </row>
    <row r="9" spans="1:5" ht="17" x14ac:dyDescent="0.4">
      <c r="A9" s="6" t="s">
        <v>56</v>
      </c>
      <c r="B9" s="21" t="s">
        <v>55</v>
      </c>
      <c r="C9" s="23">
        <f>SUM(C10:C16)</f>
        <v>0.25</v>
      </c>
      <c r="D9" s="28">
        <v>2.5</v>
      </c>
      <c r="E9" s="28">
        <f>SUM(E10:E16)</f>
        <v>1.01</v>
      </c>
    </row>
    <row r="10" spans="1:5" ht="21" customHeight="1" x14ac:dyDescent="0.35">
      <c r="A10" s="8" t="s">
        <v>6</v>
      </c>
      <c r="B10" s="12" t="s">
        <v>7</v>
      </c>
      <c r="C10" s="27">
        <v>0.02</v>
      </c>
      <c r="D10" s="24">
        <v>3</v>
      </c>
      <c r="E10" s="24">
        <f t="shared" ref="E10:E57" si="0">C10*D10</f>
        <v>0.06</v>
      </c>
    </row>
    <row r="11" spans="1:5" s="1" customFormat="1" ht="27" customHeight="1" x14ac:dyDescent="0.35">
      <c r="A11" s="8" t="s">
        <v>44</v>
      </c>
      <c r="B11" s="12">
        <v>75</v>
      </c>
      <c r="C11" s="33">
        <v>0.04</v>
      </c>
      <c r="D11" s="31">
        <v>3</v>
      </c>
      <c r="E11" s="31">
        <f t="shared" si="0"/>
        <v>0.12</v>
      </c>
    </row>
    <row r="12" spans="1:5" x14ac:dyDescent="0.35">
      <c r="A12" s="8" t="s">
        <v>11</v>
      </c>
      <c r="B12" s="12" t="s">
        <v>12</v>
      </c>
      <c r="C12" s="27">
        <v>0.04</v>
      </c>
      <c r="D12" s="24">
        <v>1</v>
      </c>
      <c r="E12" s="24">
        <f t="shared" si="0"/>
        <v>0.04</v>
      </c>
    </row>
    <row r="13" spans="1:5" x14ac:dyDescent="0.35">
      <c r="A13" s="8" t="s">
        <v>45</v>
      </c>
      <c r="B13" s="12" t="s">
        <v>48</v>
      </c>
      <c r="C13" s="27">
        <v>0.04</v>
      </c>
      <c r="D13" s="24">
        <v>5</v>
      </c>
      <c r="E13" s="24">
        <f t="shared" si="0"/>
        <v>0.2</v>
      </c>
    </row>
    <row r="14" spans="1:5" x14ac:dyDescent="0.35">
      <c r="A14" s="8" t="s">
        <v>9</v>
      </c>
      <c r="B14" s="12" t="s">
        <v>10</v>
      </c>
      <c r="C14" s="27">
        <v>0.04</v>
      </c>
      <c r="D14" s="24">
        <v>6</v>
      </c>
      <c r="E14" s="24">
        <f t="shared" si="0"/>
        <v>0.24</v>
      </c>
    </row>
    <row r="15" spans="1:5" x14ac:dyDescent="0.35">
      <c r="A15" s="8" t="s">
        <v>42</v>
      </c>
      <c r="B15" s="12" t="s">
        <v>46</v>
      </c>
      <c r="C15" s="27">
        <v>0.03</v>
      </c>
      <c r="D15" s="24">
        <v>5</v>
      </c>
      <c r="E15" s="24">
        <f t="shared" si="0"/>
        <v>0.15</v>
      </c>
    </row>
    <row r="16" spans="1:5" s="1" customFormat="1" ht="28" x14ac:dyDescent="0.35">
      <c r="A16" s="8" t="s">
        <v>66</v>
      </c>
      <c r="B16" s="12" t="s">
        <v>67</v>
      </c>
      <c r="C16" s="33">
        <v>0.04</v>
      </c>
      <c r="D16" s="31">
        <v>5</v>
      </c>
      <c r="E16" s="31">
        <f t="shared" si="0"/>
        <v>0.2</v>
      </c>
    </row>
    <row r="17" spans="1:5" ht="17" x14ac:dyDescent="0.4">
      <c r="A17" s="6" t="s">
        <v>47</v>
      </c>
      <c r="B17" s="13"/>
      <c r="C17" s="23">
        <f>SUM(C18:C22)</f>
        <v>0.25</v>
      </c>
      <c r="D17" s="28">
        <v>2.5</v>
      </c>
      <c r="E17" s="28">
        <f>SUM(E18:E22)</f>
        <v>1.0699999999999998</v>
      </c>
    </row>
    <row r="18" spans="1:5" x14ac:dyDescent="0.35">
      <c r="A18" s="8" t="s">
        <v>60</v>
      </c>
      <c r="B18" s="12">
        <v>600</v>
      </c>
      <c r="C18" s="27">
        <v>0.06</v>
      </c>
      <c r="D18" s="24">
        <v>6</v>
      </c>
      <c r="E18" s="24">
        <f t="shared" si="0"/>
        <v>0.36</v>
      </c>
    </row>
    <row r="19" spans="1:5" x14ac:dyDescent="0.35">
      <c r="A19" s="8" t="s">
        <v>64</v>
      </c>
      <c r="B19" s="12">
        <v>500</v>
      </c>
      <c r="C19" s="27">
        <v>0.06</v>
      </c>
      <c r="D19" s="24">
        <v>5</v>
      </c>
      <c r="E19" s="24">
        <f t="shared" si="0"/>
        <v>0.3</v>
      </c>
    </row>
    <row r="20" spans="1:5" x14ac:dyDescent="0.35">
      <c r="A20" s="8" t="s">
        <v>62</v>
      </c>
      <c r="B20" s="12" t="s">
        <v>61</v>
      </c>
      <c r="C20" s="27">
        <v>0.05</v>
      </c>
      <c r="D20" s="24">
        <v>5</v>
      </c>
      <c r="E20" s="24">
        <f t="shared" si="0"/>
        <v>0.25</v>
      </c>
    </row>
    <row r="21" spans="1:5" x14ac:dyDescent="0.35">
      <c r="A21" s="8" t="s">
        <v>63</v>
      </c>
      <c r="B21" s="14">
        <v>4500</v>
      </c>
      <c r="C21" s="27">
        <v>0.04</v>
      </c>
      <c r="D21" s="24">
        <v>2</v>
      </c>
      <c r="E21" s="24">
        <f t="shared" si="0"/>
        <v>0.08</v>
      </c>
    </row>
    <row r="22" spans="1:5" x14ac:dyDescent="0.35">
      <c r="A22" s="8" t="s">
        <v>59</v>
      </c>
      <c r="B22" s="14">
        <v>4050000</v>
      </c>
      <c r="C22" s="27">
        <v>0.04</v>
      </c>
      <c r="D22" s="24">
        <v>2</v>
      </c>
      <c r="E22" s="24">
        <f t="shared" si="0"/>
        <v>0.08</v>
      </c>
    </row>
    <row r="23" spans="1:5" ht="17" x14ac:dyDescent="0.4">
      <c r="A23" s="6" t="s">
        <v>51</v>
      </c>
      <c r="B23" s="13"/>
      <c r="C23" s="23">
        <f>SUM(C24:C28)</f>
        <v>4.9999999999999996E-2</v>
      </c>
      <c r="D23" s="28">
        <v>0.5</v>
      </c>
      <c r="E23" s="28">
        <f>SUM(E24:E28)</f>
        <v>0.17499999999999999</v>
      </c>
    </row>
    <row r="24" spans="1:5" x14ac:dyDescent="0.35">
      <c r="A24" s="8" t="s">
        <v>13</v>
      </c>
      <c r="B24" s="14">
        <v>800000</v>
      </c>
      <c r="C24" s="27">
        <v>0.02</v>
      </c>
      <c r="D24" s="24">
        <v>3</v>
      </c>
      <c r="E24" s="24">
        <f t="shared" si="0"/>
        <v>0.06</v>
      </c>
    </row>
    <row r="25" spans="1:5" x14ac:dyDescent="0.35">
      <c r="A25" s="8" t="s">
        <v>14</v>
      </c>
      <c r="B25" s="14">
        <v>300000</v>
      </c>
      <c r="C25" s="32">
        <v>1.4999999999999999E-2</v>
      </c>
      <c r="D25" s="24">
        <v>4</v>
      </c>
      <c r="E25" s="24">
        <f t="shared" si="0"/>
        <v>0.06</v>
      </c>
    </row>
    <row r="26" spans="1:5" x14ac:dyDescent="0.35">
      <c r="A26" s="8" t="s">
        <v>15</v>
      </c>
      <c r="B26" s="14">
        <v>100000</v>
      </c>
      <c r="C26" s="32">
        <v>5.0000000000000001E-3</v>
      </c>
      <c r="D26" s="24">
        <v>3</v>
      </c>
      <c r="E26" s="24">
        <f t="shared" si="0"/>
        <v>1.4999999999999999E-2</v>
      </c>
    </row>
    <row r="27" spans="1:5" x14ac:dyDescent="0.35">
      <c r="A27" s="8" t="s">
        <v>16</v>
      </c>
      <c r="B27" s="14">
        <v>250000</v>
      </c>
      <c r="C27" s="32">
        <v>5.0000000000000001E-3</v>
      </c>
      <c r="D27" s="24">
        <v>5</v>
      </c>
      <c r="E27" s="24">
        <f t="shared" si="0"/>
        <v>2.5000000000000001E-2</v>
      </c>
    </row>
    <row r="28" spans="1:5" x14ac:dyDescent="0.35">
      <c r="A28" s="8" t="s">
        <v>97</v>
      </c>
      <c r="B28" s="14">
        <v>150000</v>
      </c>
      <c r="C28" s="32">
        <v>5.0000000000000001E-3</v>
      </c>
      <c r="D28" s="24">
        <v>3</v>
      </c>
      <c r="E28" s="24">
        <f t="shared" si="0"/>
        <v>1.4999999999999999E-2</v>
      </c>
    </row>
    <row r="29" spans="1:5" s="3" customFormat="1" x14ac:dyDescent="0.35">
      <c r="A29" s="9" t="s">
        <v>17</v>
      </c>
      <c r="B29" s="34">
        <f>SUM(B24:B28)</f>
        <v>1600000</v>
      </c>
      <c r="C29" s="25"/>
      <c r="D29" s="25"/>
      <c r="E29" s="24"/>
    </row>
    <row r="30" spans="1:5" ht="17" x14ac:dyDescent="0.4">
      <c r="A30" s="6" t="s">
        <v>18</v>
      </c>
      <c r="B30" s="13"/>
      <c r="C30" s="23">
        <f>SUM(C31:C33)</f>
        <v>0.1</v>
      </c>
      <c r="D30" s="28">
        <v>1</v>
      </c>
      <c r="E30" s="28">
        <f>SUM(E31:E33)</f>
        <v>0.30000000000000004</v>
      </c>
    </row>
    <row r="31" spans="1:5" x14ac:dyDescent="0.35">
      <c r="A31" s="8" t="s">
        <v>65</v>
      </c>
      <c r="B31" s="14">
        <v>5000000</v>
      </c>
      <c r="C31" s="27">
        <v>0</v>
      </c>
      <c r="D31" s="24">
        <v>0</v>
      </c>
      <c r="E31" s="24">
        <f t="shared" si="0"/>
        <v>0</v>
      </c>
    </row>
    <row r="32" spans="1:5" x14ac:dyDescent="0.35">
      <c r="A32" s="8" t="s">
        <v>49</v>
      </c>
      <c r="B32" s="14">
        <v>1600000</v>
      </c>
      <c r="C32" s="27">
        <v>0</v>
      </c>
      <c r="D32" s="24">
        <v>0</v>
      </c>
      <c r="E32" s="24">
        <f t="shared" si="0"/>
        <v>0</v>
      </c>
    </row>
    <row r="33" spans="1:5" s="3" customFormat="1" x14ac:dyDescent="0.35">
      <c r="A33" s="9" t="s">
        <v>19</v>
      </c>
      <c r="B33" s="34">
        <f>B31-B32</f>
        <v>3400000</v>
      </c>
      <c r="C33" s="35">
        <v>0.1</v>
      </c>
      <c r="D33" s="25">
        <v>3</v>
      </c>
      <c r="E33" s="24">
        <f t="shared" si="0"/>
        <v>0.30000000000000004</v>
      </c>
    </row>
    <row r="34" spans="1:5" ht="17" x14ac:dyDescent="0.4">
      <c r="A34" s="6" t="s">
        <v>92</v>
      </c>
      <c r="B34" s="13"/>
      <c r="C34" s="23">
        <f>+C35+C41</f>
        <v>0.1</v>
      </c>
      <c r="D34" s="28">
        <v>0.5</v>
      </c>
      <c r="E34" s="28">
        <f>+E35+E41</f>
        <v>0.2</v>
      </c>
    </row>
    <row r="35" spans="1:5" ht="17" x14ac:dyDescent="0.35">
      <c r="A35" s="6" t="s">
        <v>94</v>
      </c>
      <c r="B35" s="13"/>
      <c r="C35" s="36">
        <f>SUM(C36:C39)</f>
        <v>0.08</v>
      </c>
      <c r="D35" s="25">
        <v>0.35</v>
      </c>
      <c r="E35" s="25">
        <f>SUM(E36:E40)</f>
        <v>0.16</v>
      </c>
    </row>
    <row r="36" spans="1:5" x14ac:dyDescent="0.35">
      <c r="A36" s="8" t="s">
        <v>20</v>
      </c>
      <c r="B36" s="15">
        <v>500000</v>
      </c>
      <c r="C36" s="27">
        <v>0.02</v>
      </c>
      <c r="D36" s="24">
        <v>2</v>
      </c>
      <c r="E36" s="24">
        <f t="shared" si="0"/>
        <v>0.04</v>
      </c>
    </row>
    <row r="37" spans="1:5" x14ac:dyDescent="0.35">
      <c r="A37" s="8" t="s">
        <v>21</v>
      </c>
      <c r="B37" s="15">
        <v>150000</v>
      </c>
      <c r="C37" s="27">
        <v>0.02</v>
      </c>
      <c r="D37" s="24">
        <v>2</v>
      </c>
      <c r="E37" s="24">
        <f t="shared" si="0"/>
        <v>0.04</v>
      </c>
    </row>
    <row r="38" spans="1:5" x14ac:dyDescent="0.35">
      <c r="A38" s="8" t="s">
        <v>22</v>
      </c>
      <c r="B38" s="15">
        <v>300000</v>
      </c>
      <c r="C38" s="27">
        <v>0.02</v>
      </c>
      <c r="D38" s="24">
        <v>2</v>
      </c>
      <c r="E38" s="24">
        <f t="shared" si="0"/>
        <v>0.04</v>
      </c>
    </row>
    <row r="39" spans="1:5" x14ac:dyDescent="0.35">
      <c r="A39" s="8" t="s">
        <v>23</v>
      </c>
      <c r="B39" s="15">
        <v>100000</v>
      </c>
      <c r="C39" s="27">
        <v>0.02</v>
      </c>
      <c r="D39" s="24">
        <v>2</v>
      </c>
      <c r="E39" s="24">
        <f t="shared" si="0"/>
        <v>0.04</v>
      </c>
    </row>
    <row r="40" spans="1:5" s="3" customFormat="1" x14ac:dyDescent="0.35">
      <c r="A40" s="9" t="s">
        <v>24</v>
      </c>
      <c r="B40" s="16">
        <f>SUM(B36:B39)</f>
        <v>1050000</v>
      </c>
      <c r="C40" s="25"/>
      <c r="D40" s="25"/>
      <c r="E40" s="24">
        <f t="shared" si="0"/>
        <v>0</v>
      </c>
    </row>
    <row r="41" spans="1:5" ht="17" x14ac:dyDescent="0.35">
      <c r="A41" s="6" t="s">
        <v>25</v>
      </c>
      <c r="B41" s="13"/>
      <c r="C41" s="36">
        <f>SUM(C42)</f>
        <v>0.02</v>
      </c>
      <c r="D41" s="25">
        <v>0.15</v>
      </c>
      <c r="E41" s="25">
        <f>SUM(E42)</f>
        <v>0.04</v>
      </c>
    </row>
    <row r="42" spans="1:5" s="1" customFormat="1" ht="28" x14ac:dyDescent="0.35">
      <c r="A42" s="8" t="s">
        <v>26</v>
      </c>
      <c r="B42" s="15">
        <v>1200000</v>
      </c>
      <c r="C42" s="37">
        <v>0.02</v>
      </c>
      <c r="D42" s="31">
        <v>2</v>
      </c>
      <c r="E42" s="31">
        <f t="shared" si="0"/>
        <v>0.04</v>
      </c>
    </row>
    <row r="43" spans="1:5" s="3" customFormat="1" x14ac:dyDescent="0.35">
      <c r="A43" s="10" t="s">
        <v>93</v>
      </c>
      <c r="B43" s="16">
        <f>B40+B42</f>
        <v>2250000</v>
      </c>
      <c r="C43" s="25"/>
      <c r="D43" s="25"/>
      <c r="E43" s="24"/>
    </row>
    <row r="44" spans="1:5" ht="17" x14ac:dyDescent="0.4">
      <c r="A44" s="6" t="s">
        <v>52</v>
      </c>
      <c r="B44" s="13"/>
      <c r="C44" s="23">
        <f>SUM(C45:C47)</f>
        <v>0.1</v>
      </c>
      <c r="D44" s="28">
        <v>1</v>
      </c>
      <c r="E44" s="28">
        <f>SUM(E45:E47)</f>
        <v>0.30000000000000004</v>
      </c>
    </row>
    <row r="45" spans="1:5" x14ac:dyDescent="0.35">
      <c r="A45" s="8" t="s">
        <v>31</v>
      </c>
      <c r="B45" s="14">
        <f>+B33</f>
        <v>3400000</v>
      </c>
      <c r="C45" s="27">
        <v>0</v>
      </c>
      <c r="D45" s="24">
        <v>0</v>
      </c>
      <c r="E45" s="24">
        <f t="shared" si="0"/>
        <v>0</v>
      </c>
    </row>
    <row r="46" spans="1:5" ht="28" x14ac:dyDescent="0.35">
      <c r="A46" s="8" t="s">
        <v>95</v>
      </c>
      <c r="B46" s="14">
        <v>1250000</v>
      </c>
      <c r="C46" s="27">
        <v>0</v>
      </c>
      <c r="D46" s="24">
        <v>0</v>
      </c>
      <c r="E46" s="24">
        <f t="shared" si="0"/>
        <v>0</v>
      </c>
    </row>
    <row r="47" spans="1:5" s="3" customFormat="1" x14ac:dyDescent="0.35">
      <c r="A47" s="9" t="s">
        <v>32</v>
      </c>
      <c r="B47" s="17">
        <f>+B45/B46</f>
        <v>2.72</v>
      </c>
      <c r="C47" s="35">
        <v>0.1</v>
      </c>
      <c r="D47" s="25">
        <v>3</v>
      </c>
      <c r="E47" s="25">
        <f t="shared" si="0"/>
        <v>0.30000000000000004</v>
      </c>
    </row>
    <row r="48" spans="1:5" ht="17" x14ac:dyDescent="0.4">
      <c r="A48" s="6" t="s">
        <v>53</v>
      </c>
      <c r="B48" s="13"/>
      <c r="C48" s="23">
        <f>SUM(C49:C52)</f>
        <v>0.05</v>
      </c>
      <c r="D48" s="28">
        <v>1</v>
      </c>
      <c r="E48" s="28">
        <f>SUM(E49:E52)</f>
        <v>0.14000000000000001</v>
      </c>
    </row>
    <row r="49" spans="1:5" x14ac:dyDescent="0.35">
      <c r="A49" s="8" t="s">
        <v>27</v>
      </c>
      <c r="B49" s="14">
        <v>2450000</v>
      </c>
      <c r="C49" s="27">
        <v>0.01</v>
      </c>
      <c r="D49" s="24">
        <v>4</v>
      </c>
      <c r="E49" s="24">
        <f>C49*D49</f>
        <v>0.04</v>
      </c>
    </row>
    <row r="50" spans="1:5" x14ac:dyDescent="0.35">
      <c r="A50" s="8" t="s">
        <v>43</v>
      </c>
      <c r="B50" s="12" t="s">
        <v>50</v>
      </c>
      <c r="C50" s="27">
        <v>0.01</v>
      </c>
      <c r="D50" s="24">
        <v>3</v>
      </c>
      <c r="E50" s="24">
        <f>C50*D50</f>
        <v>0.03</v>
      </c>
    </row>
    <row r="51" spans="1:5" x14ac:dyDescent="0.35">
      <c r="A51" s="8" t="s">
        <v>28</v>
      </c>
      <c r="B51" s="12" t="s">
        <v>29</v>
      </c>
      <c r="C51" s="27">
        <v>0.01</v>
      </c>
      <c r="D51" s="24">
        <v>3</v>
      </c>
      <c r="E51" s="24">
        <f>C51*D51</f>
        <v>0.03</v>
      </c>
    </row>
    <row r="52" spans="1:5" s="1" customFormat="1" ht="28" x14ac:dyDescent="0.35">
      <c r="A52" s="8" t="s">
        <v>30</v>
      </c>
      <c r="B52" s="12" t="s">
        <v>33</v>
      </c>
      <c r="C52" s="33">
        <v>0.02</v>
      </c>
      <c r="D52" s="31">
        <v>2</v>
      </c>
      <c r="E52" s="31">
        <f>C52*D52</f>
        <v>0.04</v>
      </c>
    </row>
    <row r="53" spans="1:5" ht="17" x14ac:dyDescent="0.4">
      <c r="A53" s="6" t="s">
        <v>68</v>
      </c>
      <c r="B53" s="13"/>
      <c r="C53" s="23">
        <f>SUM(C55:C57)</f>
        <v>9.9999999999999992E-2</v>
      </c>
      <c r="D53" s="28">
        <v>1</v>
      </c>
      <c r="E53" s="28">
        <f>SUM(E54:E57)</f>
        <v>0.48999999999999994</v>
      </c>
    </row>
    <row r="54" spans="1:5" x14ac:dyDescent="0.35">
      <c r="A54" s="17" t="s">
        <v>39</v>
      </c>
      <c r="B54" s="17" t="s">
        <v>34</v>
      </c>
      <c r="C54" s="24"/>
      <c r="D54" s="24"/>
      <c r="E54" s="24"/>
    </row>
    <row r="55" spans="1:5" s="1" customFormat="1" ht="28" x14ac:dyDescent="0.35">
      <c r="A55" s="8" t="s">
        <v>35</v>
      </c>
      <c r="B55" s="12" t="s">
        <v>70</v>
      </c>
      <c r="C55" s="33">
        <v>0.06</v>
      </c>
      <c r="D55" s="31">
        <v>5</v>
      </c>
      <c r="E55" s="31">
        <f t="shared" si="0"/>
        <v>0.3</v>
      </c>
    </row>
    <row r="56" spans="1:5" x14ac:dyDescent="0.35">
      <c r="A56" s="8" t="s">
        <v>36</v>
      </c>
      <c r="B56" s="12" t="s">
        <v>69</v>
      </c>
      <c r="C56" s="27">
        <v>0.03</v>
      </c>
      <c r="D56" s="24">
        <v>5</v>
      </c>
      <c r="E56" s="24">
        <f t="shared" si="0"/>
        <v>0.15</v>
      </c>
    </row>
    <row r="57" spans="1:5" ht="28" x14ac:dyDescent="0.35">
      <c r="A57" s="8" t="s">
        <v>37</v>
      </c>
      <c r="B57" s="12" t="s">
        <v>38</v>
      </c>
      <c r="C57" s="27">
        <v>0.01</v>
      </c>
      <c r="D57" s="24">
        <v>4</v>
      </c>
      <c r="E57" s="24">
        <f t="shared" si="0"/>
        <v>0.04</v>
      </c>
    </row>
    <row r="58" spans="1:5" s="1" customFormat="1" ht="29" customHeight="1" x14ac:dyDescent="0.35">
      <c r="A58" s="48" t="s">
        <v>57</v>
      </c>
      <c r="B58" s="49"/>
      <c r="C58" s="29">
        <f>C53+C44+C48+C34+C30+C23+C9+C17</f>
        <v>1</v>
      </c>
      <c r="D58" s="30">
        <f>D53+D44+D48+D34+D30+D23+D9+D17</f>
        <v>10</v>
      </c>
      <c r="E58" s="30">
        <f>E53+E44+E48+E34+E30+E23+E9+E17</f>
        <v>3.6850000000000001</v>
      </c>
    </row>
  </sheetData>
  <mergeCells count="3">
    <mergeCell ref="A8:B8"/>
    <mergeCell ref="A1:E1"/>
    <mergeCell ref="A58:B58"/>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AFEE2-DFC4-4897-821C-1DD8EED94A8A}">
  <dimension ref="A1:O58"/>
  <sheetViews>
    <sheetView showGridLines="0" tabSelected="1" workbookViewId="0">
      <selection activeCell="D6" sqref="D6"/>
    </sheetView>
  </sheetViews>
  <sheetFormatPr baseColWidth="10" defaultRowHeight="14" x14ac:dyDescent="0.35"/>
  <cols>
    <col min="1" max="1" width="31.90625" style="54" customWidth="1"/>
    <col min="2" max="2" width="28.81640625" style="54" customWidth="1"/>
    <col min="3" max="16384" width="10.90625" style="54"/>
  </cols>
  <sheetData>
    <row r="1" spans="1:15" ht="14.5" thickBot="1" x14ac:dyDescent="0.4"/>
    <row r="2" spans="1:15" x14ac:dyDescent="0.35">
      <c r="A2" s="96" t="s">
        <v>295</v>
      </c>
      <c r="B2" s="97"/>
      <c r="C2" s="97"/>
      <c r="D2" s="97"/>
      <c r="E2" s="98"/>
      <c r="F2" s="78" t="s">
        <v>184</v>
      </c>
      <c r="G2" s="79"/>
      <c r="H2" s="79"/>
      <c r="I2" s="79"/>
      <c r="J2" s="79"/>
      <c r="K2" s="79"/>
      <c r="L2" s="79"/>
      <c r="M2" s="79"/>
      <c r="N2" s="79"/>
      <c r="O2" s="80"/>
    </row>
    <row r="3" spans="1:15" ht="14.5" thickBot="1" x14ac:dyDescent="0.4">
      <c r="A3" s="120"/>
      <c r="B3" s="121"/>
      <c r="C3" s="121"/>
      <c r="D3" s="121"/>
      <c r="E3" s="122"/>
      <c r="F3" s="123"/>
      <c r="G3" s="124"/>
      <c r="H3" s="124"/>
      <c r="I3" s="124"/>
      <c r="J3" s="124"/>
      <c r="K3" s="124"/>
      <c r="L3" s="124"/>
      <c r="M3" s="124"/>
      <c r="N3" s="124"/>
      <c r="O3" s="125"/>
    </row>
    <row r="4" spans="1:15" ht="28" x14ac:dyDescent="0.35">
      <c r="A4" s="112" t="s">
        <v>54</v>
      </c>
      <c r="B4" s="113"/>
      <c r="C4" s="114" t="s">
        <v>40</v>
      </c>
      <c r="D4" s="115" t="s">
        <v>41</v>
      </c>
      <c r="E4" s="116" t="s">
        <v>58</v>
      </c>
      <c r="F4" s="117">
        <v>1</v>
      </c>
      <c r="G4" s="118">
        <v>2</v>
      </c>
      <c r="H4" s="118">
        <v>3</v>
      </c>
      <c r="I4" s="118">
        <v>4</v>
      </c>
      <c r="J4" s="118">
        <v>5</v>
      </c>
      <c r="K4" s="118">
        <v>6</v>
      </c>
      <c r="L4" s="118">
        <v>7</v>
      </c>
      <c r="M4" s="118">
        <v>8</v>
      </c>
      <c r="N4" s="118">
        <v>9</v>
      </c>
      <c r="O4" s="119">
        <v>10</v>
      </c>
    </row>
    <row r="5" spans="1:15" ht="16.5" x14ac:dyDescent="0.35">
      <c r="A5" s="99" t="s">
        <v>56</v>
      </c>
      <c r="B5" s="55" t="s">
        <v>55</v>
      </c>
      <c r="C5" s="56">
        <f>SUM(C6:C12)</f>
        <v>0.25</v>
      </c>
      <c r="D5" s="57">
        <v>2.5</v>
      </c>
      <c r="E5" s="82">
        <f>SUM(E6:E12)</f>
        <v>1.01</v>
      </c>
      <c r="F5" s="81"/>
      <c r="G5" s="57"/>
      <c r="H5" s="57"/>
      <c r="I5" s="57"/>
      <c r="J5" s="57"/>
      <c r="K5" s="57"/>
      <c r="L5" s="57"/>
      <c r="M5" s="57"/>
      <c r="N5" s="57"/>
      <c r="O5" s="82"/>
    </row>
    <row r="6" spans="1:15" ht="34.5" x14ac:dyDescent="0.35">
      <c r="A6" s="100" t="s">
        <v>6</v>
      </c>
      <c r="B6" s="12" t="s">
        <v>7</v>
      </c>
      <c r="C6" s="58">
        <v>0.02</v>
      </c>
      <c r="D6" s="59">
        <v>3</v>
      </c>
      <c r="E6" s="101">
        <f t="shared" ref="E6:E57" si="0">C6*D6</f>
        <v>0.06</v>
      </c>
      <c r="F6" s="83" t="s">
        <v>185</v>
      </c>
      <c r="G6" s="51" t="s">
        <v>186</v>
      </c>
      <c r="H6" s="51" t="s">
        <v>187</v>
      </c>
      <c r="I6" s="51" t="s">
        <v>188</v>
      </c>
      <c r="J6" s="50" t="s">
        <v>189</v>
      </c>
      <c r="K6" s="51" t="s">
        <v>190</v>
      </c>
      <c r="L6" s="51" t="s">
        <v>191</v>
      </c>
      <c r="M6" s="52" t="s">
        <v>192</v>
      </c>
      <c r="N6" s="52" t="s">
        <v>192</v>
      </c>
      <c r="O6" s="84" t="s">
        <v>192</v>
      </c>
    </row>
    <row r="7" spans="1:15" ht="42" x14ac:dyDescent="0.35">
      <c r="A7" s="100" t="s">
        <v>44</v>
      </c>
      <c r="B7" s="12">
        <v>75</v>
      </c>
      <c r="C7" s="58">
        <v>0.04</v>
      </c>
      <c r="D7" s="59">
        <v>3</v>
      </c>
      <c r="E7" s="101">
        <f t="shared" si="0"/>
        <v>0.12</v>
      </c>
      <c r="F7" s="85" t="s">
        <v>166</v>
      </c>
      <c r="G7" s="60" t="s">
        <v>167</v>
      </c>
      <c r="H7" s="60" t="s">
        <v>168</v>
      </c>
      <c r="I7" s="60" t="s">
        <v>169</v>
      </c>
      <c r="J7" s="60" t="s">
        <v>170</v>
      </c>
      <c r="K7" s="60" t="s">
        <v>171</v>
      </c>
      <c r="L7" s="60" t="s">
        <v>172</v>
      </c>
      <c r="M7" s="60" t="s">
        <v>173</v>
      </c>
      <c r="N7" s="60" t="s">
        <v>174</v>
      </c>
      <c r="O7" s="61" t="s">
        <v>163</v>
      </c>
    </row>
    <row r="8" spans="1:15" x14ac:dyDescent="0.35">
      <c r="A8" s="100" t="s">
        <v>11</v>
      </c>
      <c r="B8" s="12" t="s">
        <v>12</v>
      </c>
      <c r="C8" s="58">
        <v>0.04</v>
      </c>
      <c r="D8" s="59">
        <v>1</v>
      </c>
      <c r="E8" s="101">
        <f t="shared" si="0"/>
        <v>0.04</v>
      </c>
      <c r="F8" s="85" t="s">
        <v>193</v>
      </c>
      <c r="G8" s="60" t="s">
        <v>194</v>
      </c>
      <c r="H8" s="60" t="s">
        <v>195</v>
      </c>
      <c r="I8" s="60" t="s">
        <v>196</v>
      </c>
      <c r="J8" s="60" t="s">
        <v>197</v>
      </c>
      <c r="K8" s="60" t="s">
        <v>198</v>
      </c>
      <c r="L8" s="60" t="s">
        <v>198</v>
      </c>
      <c r="M8" s="60" t="s">
        <v>164</v>
      </c>
      <c r="N8" s="60" t="s">
        <v>165</v>
      </c>
      <c r="O8" s="61" t="s">
        <v>199</v>
      </c>
    </row>
    <row r="9" spans="1:15" ht="28" x14ac:dyDescent="0.35">
      <c r="A9" s="100" t="s">
        <v>45</v>
      </c>
      <c r="B9" s="12" t="s">
        <v>48</v>
      </c>
      <c r="C9" s="58">
        <v>0.04</v>
      </c>
      <c r="D9" s="59">
        <v>5</v>
      </c>
      <c r="E9" s="101">
        <f t="shared" si="0"/>
        <v>0.2</v>
      </c>
      <c r="F9" s="86" t="s">
        <v>175</v>
      </c>
      <c r="G9" s="62" t="s">
        <v>176</v>
      </c>
      <c r="H9" s="62" t="s">
        <v>177</v>
      </c>
      <c r="I9" s="62" t="s">
        <v>177</v>
      </c>
      <c r="J9" s="62" t="s">
        <v>178</v>
      </c>
      <c r="K9" s="62" t="s">
        <v>179</v>
      </c>
      <c r="L9" s="62" t="s">
        <v>180</v>
      </c>
      <c r="M9" s="62" t="s">
        <v>181</v>
      </c>
      <c r="N9" s="62" t="s">
        <v>182</v>
      </c>
      <c r="O9" s="63" t="s">
        <v>182</v>
      </c>
    </row>
    <row r="10" spans="1:15" ht="28" x14ac:dyDescent="0.35">
      <c r="A10" s="100" t="s">
        <v>9</v>
      </c>
      <c r="B10" s="12" t="s">
        <v>10</v>
      </c>
      <c r="C10" s="58">
        <v>0.04</v>
      </c>
      <c r="D10" s="59">
        <v>6</v>
      </c>
      <c r="E10" s="101">
        <f t="shared" si="0"/>
        <v>0.24</v>
      </c>
      <c r="F10" s="87" t="s">
        <v>201</v>
      </c>
      <c r="G10" s="75" t="s">
        <v>200</v>
      </c>
      <c r="H10" s="75" t="s">
        <v>202</v>
      </c>
      <c r="I10" s="75" t="s">
        <v>121</v>
      </c>
      <c r="J10" s="75" t="s">
        <v>121</v>
      </c>
      <c r="K10" s="75" t="s">
        <v>119</v>
      </c>
      <c r="L10" s="75" t="s">
        <v>120</v>
      </c>
      <c r="M10" s="75" t="s">
        <v>122</v>
      </c>
      <c r="N10" s="75" t="s">
        <v>123</v>
      </c>
      <c r="O10" s="88" t="s">
        <v>123</v>
      </c>
    </row>
    <row r="11" spans="1:15" ht="28" x14ac:dyDescent="0.35">
      <c r="A11" s="100" t="s">
        <v>42</v>
      </c>
      <c r="B11" s="12" t="s">
        <v>46</v>
      </c>
      <c r="C11" s="58">
        <v>0.03</v>
      </c>
      <c r="D11" s="59">
        <v>5</v>
      </c>
      <c r="E11" s="101">
        <f t="shared" si="0"/>
        <v>0.15</v>
      </c>
      <c r="F11" s="89" t="s">
        <v>99</v>
      </c>
      <c r="G11" s="64" t="s">
        <v>100</v>
      </c>
      <c r="H11" s="64" t="s">
        <v>101</v>
      </c>
      <c r="I11" s="64" t="s">
        <v>102</v>
      </c>
      <c r="J11" s="64" t="s">
        <v>103</v>
      </c>
      <c r="K11" s="64" t="s">
        <v>104</v>
      </c>
      <c r="L11" s="64" t="s">
        <v>105</v>
      </c>
      <c r="M11" s="64" t="s">
        <v>106</v>
      </c>
      <c r="N11" s="64" t="s">
        <v>107</v>
      </c>
      <c r="O11" s="68" t="s">
        <v>108</v>
      </c>
    </row>
    <row r="12" spans="1:15" ht="56" x14ac:dyDescent="0.35">
      <c r="A12" s="100" t="s">
        <v>66</v>
      </c>
      <c r="B12" s="12" t="s">
        <v>67</v>
      </c>
      <c r="C12" s="58">
        <v>0.04</v>
      </c>
      <c r="D12" s="59">
        <v>5</v>
      </c>
      <c r="E12" s="101">
        <f t="shared" si="0"/>
        <v>0.2</v>
      </c>
      <c r="F12" s="87" t="s">
        <v>225</v>
      </c>
      <c r="G12" s="75" t="s">
        <v>203</v>
      </c>
      <c r="H12" s="75" t="s">
        <v>204</v>
      </c>
      <c r="I12" s="75" t="s">
        <v>205</v>
      </c>
      <c r="J12" s="75" t="s">
        <v>206</v>
      </c>
      <c r="K12" s="75" t="s">
        <v>206</v>
      </c>
      <c r="L12" s="75" t="s">
        <v>207</v>
      </c>
      <c r="M12" s="75" t="s">
        <v>208</v>
      </c>
      <c r="N12" s="75" t="s">
        <v>209</v>
      </c>
      <c r="O12" s="88" t="s">
        <v>210</v>
      </c>
    </row>
    <row r="13" spans="1:15" ht="16.5" x14ac:dyDescent="0.35">
      <c r="A13" s="99" t="s">
        <v>47</v>
      </c>
      <c r="B13" s="65"/>
      <c r="C13" s="56">
        <f>SUM(C14:C19)</f>
        <v>0.25</v>
      </c>
      <c r="D13" s="57">
        <v>2.5</v>
      </c>
      <c r="E13" s="82">
        <f>SUM(E14:E19)</f>
        <v>1.05</v>
      </c>
      <c r="F13" s="83"/>
      <c r="G13" s="50"/>
      <c r="H13" s="50"/>
      <c r="I13" s="50"/>
      <c r="J13" s="50"/>
      <c r="K13" s="50"/>
      <c r="L13" s="50"/>
      <c r="M13" s="50"/>
      <c r="N13" s="50"/>
      <c r="O13" s="90"/>
    </row>
    <row r="14" spans="1:15" x14ac:dyDescent="0.35">
      <c r="A14" s="100" t="s">
        <v>235</v>
      </c>
      <c r="B14" s="12">
        <v>600</v>
      </c>
      <c r="C14" s="58">
        <v>0.05</v>
      </c>
      <c r="D14" s="59">
        <v>6</v>
      </c>
      <c r="E14" s="101">
        <f t="shared" si="0"/>
        <v>0.30000000000000004</v>
      </c>
      <c r="F14" s="91" t="s">
        <v>211</v>
      </c>
      <c r="G14" s="66" t="s">
        <v>212</v>
      </c>
      <c r="H14" s="66" t="s">
        <v>213</v>
      </c>
      <c r="I14" s="66" t="s">
        <v>214</v>
      </c>
      <c r="J14" s="66" t="s">
        <v>215</v>
      </c>
      <c r="K14" s="66" t="s">
        <v>216</v>
      </c>
      <c r="L14" s="66" t="s">
        <v>217</v>
      </c>
      <c r="M14" s="66" t="s">
        <v>218</v>
      </c>
      <c r="N14" s="66" t="s">
        <v>219</v>
      </c>
      <c r="O14" s="67" t="s">
        <v>220</v>
      </c>
    </row>
    <row r="15" spans="1:15" x14ac:dyDescent="0.35">
      <c r="A15" s="100" t="s">
        <v>64</v>
      </c>
      <c r="B15" s="12">
        <v>500</v>
      </c>
      <c r="C15" s="58">
        <v>0.05</v>
      </c>
      <c r="D15" s="59">
        <v>5</v>
      </c>
      <c r="E15" s="101">
        <f t="shared" si="0"/>
        <v>0.25</v>
      </c>
      <c r="F15" s="91" t="s">
        <v>221</v>
      </c>
      <c r="G15" s="66" t="s">
        <v>222</v>
      </c>
      <c r="H15" s="66" t="s">
        <v>223</v>
      </c>
      <c r="I15" s="66" t="s">
        <v>214</v>
      </c>
      <c r="J15" s="66" t="s">
        <v>215</v>
      </c>
      <c r="K15" s="66" t="s">
        <v>216</v>
      </c>
      <c r="L15" s="66" t="s">
        <v>217</v>
      </c>
      <c r="M15" s="66" t="s">
        <v>218</v>
      </c>
      <c r="N15" s="66" t="s">
        <v>219</v>
      </c>
      <c r="O15" s="67" t="s">
        <v>220</v>
      </c>
    </row>
    <row r="16" spans="1:15" ht="28" x14ac:dyDescent="0.35">
      <c r="A16" s="100" t="s">
        <v>226</v>
      </c>
      <c r="B16" s="12" t="s">
        <v>61</v>
      </c>
      <c r="C16" s="58">
        <v>0.04</v>
      </c>
      <c r="D16" s="59">
        <v>5</v>
      </c>
      <c r="E16" s="101">
        <f t="shared" si="0"/>
        <v>0.2</v>
      </c>
      <c r="F16" s="89" t="s">
        <v>234</v>
      </c>
      <c r="G16" s="64" t="s">
        <v>227</v>
      </c>
      <c r="H16" s="64" t="s">
        <v>228</v>
      </c>
      <c r="I16" s="64" t="s">
        <v>233</v>
      </c>
      <c r="J16" s="64" t="s">
        <v>231</v>
      </c>
      <c r="K16" s="64" t="s">
        <v>229</v>
      </c>
      <c r="L16" s="64" t="s">
        <v>230</v>
      </c>
      <c r="M16" s="64" t="s">
        <v>232</v>
      </c>
      <c r="N16" s="64" t="s">
        <v>219</v>
      </c>
      <c r="O16" s="68" t="s">
        <v>220</v>
      </c>
    </row>
    <row r="17" spans="1:15" x14ac:dyDescent="0.35">
      <c r="A17" s="100" t="s">
        <v>224</v>
      </c>
      <c r="B17" s="14">
        <v>4500</v>
      </c>
      <c r="C17" s="58">
        <v>0.03</v>
      </c>
      <c r="D17" s="59">
        <v>2</v>
      </c>
      <c r="E17" s="101">
        <f t="shared" si="0"/>
        <v>0.06</v>
      </c>
      <c r="F17" s="89" t="s">
        <v>112</v>
      </c>
      <c r="G17" s="69" t="s">
        <v>113</v>
      </c>
      <c r="H17" s="64" t="s">
        <v>114</v>
      </c>
      <c r="I17" s="64" t="s">
        <v>115</v>
      </c>
      <c r="J17" s="64" t="s">
        <v>116</v>
      </c>
      <c r="K17" s="64" t="s">
        <v>116</v>
      </c>
      <c r="L17" s="64" t="s">
        <v>117</v>
      </c>
      <c r="M17" s="64" t="s">
        <v>117</v>
      </c>
      <c r="N17" s="64" t="s">
        <v>118</v>
      </c>
      <c r="O17" s="68" t="s">
        <v>118</v>
      </c>
    </row>
    <row r="18" spans="1:15" ht="42" x14ac:dyDescent="0.35">
      <c r="A18" s="100" t="s">
        <v>289</v>
      </c>
      <c r="B18" s="14">
        <f>4500*900</f>
        <v>4050000</v>
      </c>
      <c r="C18" s="58">
        <v>0.04</v>
      </c>
      <c r="D18" s="59">
        <v>4</v>
      </c>
      <c r="E18" s="101">
        <f t="shared" si="0"/>
        <v>0.16</v>
      </c>
      <c r="F18" s="89" t="s">
        <v>109</v>
      </c>
      <c r="G18" s="64" t="s">
        <v>109</v>
      </c>
      <c r="H18" s="64" t="s">
        <v>110</v>
      </c>
      <c r="I18" s="64" t="s">
        <v>111</v>
      </c>
      <c r="J18" s="64" t="s">
        <v>105</v>
      </c>
      <c r="K18" s="64" t="s">
        <v>290</v>
      </c>
      <c r="L18" s="64" t="s">
        <v>291</v>
      </c>
      <c r="M18" s="64" t="s">
        <v>292</v>
      </c>
      <c r="N18" s="64" t="s">
        <v>293</v>
      </c>
      <c r="O18" s="68" t="s">
        <v>294</v>
      </c>
    </row>
    <row r="19" spans="1:15" ht="28" x14ac:dyDescent="0.35">
      <c r="A19" s="100" t="s">
        <v>236</v>
      </c>
      <c r="B19" s="53">
        <f>+B18/B28</f>
        <v>0.81</v>
      </c>
      <c r="C19" s="58">
        <v>0.04</v>
      </c>
      <c r="D19" s="59">
        <v>2</v>
      </c>
      <c r="E19" s="101">
        <f t="shared" si="0"/>
        <v>0.08</v>
      </c>
      <c r="F19" s="85" t="s">
        <v>166</v>
      </c>
      <c r="G19" s="60" t="s">
        <v>167</v>
      </c>
      <c r="H19" s="60" t="s">
        <v>168</v>
      </c>
      <c r="I19" s="60" t="s">
        <v>169</v>
      </c>
      <c r="J19" s="60" t="s">
        <v>170</v>
      </c>
      <c r="K19" s="60" t="s">
        <v>171</v>
      </c>
      <c r="L19" s="60" t="s">
        <v>172</v>
      </c>
      <c r="M19" s="60" t="s">
        <v>173</v>
      </c>
      <c r="N19" s="60" t="s">
        <v>174</v>
      </c>
      <c r="O19" s="61" t="s">
        <v>163</v>
      </c>
    </row>
    <row r="20" spans="1:15" ht="16.5" x14ac:dyDescent="0.35">
      <c r="A20" s="99" t="s">
        <v>51</v>
      </c>
      <c r="B20" s="65"/>
      <c r="C20" s="56">
        <f>SUM(C21:C25)</f>
        <v>4.9999999999999996E-2</v>
      </c>
      <c r="D20" s="57">
        <v>0.5</v>
      </c>
      <c r="E20" s="82">
        <f>SUM(E21:E25)</f>
        <v>0.17499999999999999</v>
      </c>
      <c r="F20" s="83"/>
      <c r="G20" s="50"/>
      <c r="H20" s="50"/>
      <c r="I20" s="50"/>
      <c r="J20" s="50"/>
      <c r="K20" s="50"/>
      <c r="L20" s="50"/>
      <c r="M20" s="50"/>
      <c r="N20" s="50"/>
      <c r="O20" s="90"/>
    </row>
    <row r="21" spans="1:15" ht="28" x14ac:dyDescent="0.35">
      <c r="A21" s="100" t="s">
        <v>259</v>
      </c>
      <c r="B21" s="14">
        <v>800000</v>
      </c>
      <c r="C21" s="58">
        <v>0.02</v>
      </c>
      <c r="D21" s="59">
        <v>3</v>
      </c>
      <c r="E21" s="101">
        <f t="shared" si="0"/>
        <v>0.06</v>
      </c>
      <c r="F21" s="85" t="s">
        <v>273</v>
      </c>
      <c r="G21" s="60" t="s">
        <v>274</v>
      </c>
      <c r="H21" s="60" t="s">
        <v>275</v>
      </c>
      <c r="I21" s="60" t="s">
        <v>276</v>
      </c>
      <c r="J21" s="60" t="s">
        <v>278</v>
      </c>
      <c r="K21" s="60" t="s">
        <v>277</v>
      </c>
      <c r="L21" s="60" t="s">
        <v>279</v>
      </c>
      <c r="M21" s="60" t="s">
        <v>280</v>
      </c>
      <c r="N21" s="60" t="s">
        <v>281</v>
      </c>
      <c r="O21" s="61" t="s">
        <v>282</v>
      </c>
    </row>
    <row r="22" spans="1:15" ht="28" x14ac:dyDescent="0.35">
      <c r="A22" s="100" t="s">
        <v>260</v>
      </c>
      <c r="B22" s="14">
        <v>300000</v>
      </c>
      <c r="C22" s="70">
        <v>1.4999999999999999E-2</v>
      </c>
      <c r="D22" s="59">
        <v>4</v>
      </c>
      <c r="E22" s="101">
        <f t="shared" si="0"/>
        <v>0.06</v>
      </c>
      <c r="F22" s="85" t="s">
        <v>264</v>
      </c>
      <c r="G22" s="60" t="s">
        <v>265</v>
      </c>
      <c r="H22" s="60" t="s">
        <v>266</v>
      </c>
      <c r="I22" s="60" t="s">
        <v>267</v>
      </c>
      <c r="J22" s="60" t="s">
        <v>268</v>
      </c>
      <c r="K22" s="60" t="s">
        <v>269</v>
      </c>
      <c r="L22" s="60" t="s">
        <v>270</v>
      </c>
      <c r="M22" s="60" t="s">
        <v>271</v>
      </c>
      <c r="N22" s="60" t="s">
        <v>272</v>
      </c>
      <c r="O22" s="61" t="s">
        <v>140</v>
      </c>
    </row>
    <row r="23" spans="1:15" ht="28" x14ac:dyDescent="0.35">
      <c r="A23" s="100" t="s">
        <v>261</v>
      </c>
      <c r="B23" s="14">
        <v>100000</v>
      </c>
      <c r="C23" s="70">
        <v>5.0000000000000001E-3</v>
      </c>
      <c r="D23" s="59">
        <v>3</v>
      </c>
      <c r="E23" s="101">
        <f t="shared" si="0"/>
        <v>1.4999999999999999E-2</v>
      </c>
      <c r="F23" s="85" t="s">
        <v>131</v>
      </c>
      <c r="G23" s="60" t="s">
        <v>132</v>
      </c>
      <c r="H23" s="60" t="s">
        <v>133</v>
      </c>
      <c r="I23" s="60" t="s">
        <v>134</v>
      </c>
      <c r="J23" s="60" t="s">
        <v>135</v>
      </c>
      <c r="K23" s="60" t="s">
        <v>136</v>
      </c>
      <c r="L23" s="60" t="s">
        <v>137</v>
      </c>
      <c r="M23" s="60" t="s">
        <v>138</v>
      </c>
      <c r="N23" s="60" t="s">
        <v>139</v>
      </c>
      <c r="O23" s="61" t="s">
        <v>140</v>
      </c>
    </row>
    <row r="24" spans="1:15" x14ac:dyDescent="0.35">
      <c r="A24" s="100" t="s">
        <v>262</v>
      </c>
      <c r="B24" s="14">
        <v>250000</v>
      </c>
      <c r="C24" s="70">
        <v>5.0000000000000001E-3</v>
      </c>
      <c r="D24" s="59">
        <v>5</v>
      </c>
      <c r="E24" s="101">
        <f t="shared" si="0"/>
        <v>2.5000000000000001E-2</v>
      </c>
      <c r="F24" s="85" t="s">
        <v>264</v>
      </c>
      <c r="G24" s="60" t="s">
        <v>265</v>
      </c>
      <c r="H24" s="60" t="s">
        <v>266</v>
      </c>
      <c r="I24" s="60" t="s">
        <v>267</v>
      </c>
      <c r="J24" s="60" t="s">
        <v>268</v>
      </c>
      <c r="K24" s="60" t="s">
        <v>269</v>
      </c>
      <c r="L24" s="60" t="s">
        <v>270</v>
      </c>
      <c r="M24" s="60" t="s">
        <v>271</v>
      </c>
      <c r="N24" s="60" t="s">
        <v>272</v>
      </c>
      <c r="O24" s="61" t="s">
        <v>140</v>
      </c>
    </row>
    <row r="25" spans="1:15" ht="28" x14ac:dyDescent="0.35">
      <c r="A25" s="100" t="s">
        <v>263</v>
      </c>
      <c r="B25" s="14">
        <v>150000</v>
      </c>
      <c r="C25" s="70">
        <v>5.0000000000000001E-3</v>
      </c>
      <c r="D25" s="59">
        <v>3</v>
      </c>
      <c r="E25" s="101">
        <f t="shared" si="0"/>
        <v>1.4999999999999999E-2</v>
      </c>
      <c r="F25" s="85" t="s">
        <v>131</v>
      </c>
      <c r="G25" s="60" t="s">
        <v>132</v>
      </c>
      <c r="H25" s="60" t="s">
        <v>133</v>
      </c>
      <c r="I25" s="60" t="s">
        <v>134</v>
      </c>
      <c r="J25" s="60" t="s">
        <v>135</v>
      </c>
      <c r="K25" s="60" t="s">
        <v>136</v>
      </c>
      <c r="L25" s="60" t="s">
        <v>137</v>
      </c>
      <c r="M25" s="60" t="s">
        <v>138</v>
      </c>
      <c r="N25" s="60" t="s">
        <v>139</v>
      </c>
      <c r="O25" s="61" t="s">
        <v>140</v>
      </c>
    </row>
    <row r="26" spans="1:15" x14ac:dyDescent="0.35">
      <c r="A26" s="102" t="s">
        <v>17</v>
      </c>
      <c r="B26" s="34">
        <f>SUM(B21:B25)</f>
        <v>1600000</v>
      </c>
      <c r="C26" s="71"/>
      <c r="D26" s="71"/>
      <c r="E26" s="101"/>
      <c r="F26" s="83"/>
      <c r="G26" s="50"/>
      <c r="H26" s="50"/>
      <c r="I26" s="50"/>
      <c r="J26" s="50"/>
      <c r="K26" s="50"/>
      <c r="L26" s="50"/>
      <c r="M26" s="50"/>
      <c r="N26" s="50"/>
      <c r="O26" s="90"/>
    </row>
    <row r="27" spans="1:15" ht="16.5" x14ac:dyDescent="0.35">
      <c r="A27" s="99" t="s">
        <v>18</v>
      </c>
      <c r="B27" s="65"/>
      <c r="C27" s="56">
        <f>SUM(C28:C31)</f>
        <v>0.1</v>
      </c>
      <c r="D27" s="57">
        <v>1</v>
      </c>
      <c r="E27" s="82">
        <f>SUM(E28:E31)</f>
        <v>0.30000000000000004</v>
      </c>
      <c r="F27" s="83"/>
      <c r="G27" s="50"/>
      <c r="H27" s="50"/>
      <c r="I27" s="50"/>
      <c r="J27" s="50"/>
      <c r="K27" s="50"/>
      <c r="L27" s="50"/>
      <c r="M27" s="50"/>
      <c r="N27" s="50"/>
      <c r="O27" s="90"/>
    </row>
    <row r="28" spans="1:15" ht="28" x14ac:dyDescent="0.35">
      <c r="A28" s="100" t="s">
        <v>65</v>
      </c>
      <c r="B28" s="14">
        <v>5000000</v>
      </c>
      <c r="C28" s="58">
        <v>0</v>
      </c>
      <c r="D28" s="59">
        <v>0</v>
      </c>
      <c r="E28" s="101">
        <f t="shared" si="0"/>
        <v>0</v>
      </c>
      <c r="F28" s="92" t="s">
        <v>288</v>
      </c>
      <c r="G28" s="52" t="s">
        <v>288</v>
      </c>
      <c r="H28" s="52" t="s">
        <v>288</v>
      </c>
      <c r="I28" s="52" t="s">
        <v>288</v>
      </c>
      <c r="J28" s="52" t="s">
        <v>288</v>
      </c>
      <c r="K28" s="52" t="s">
        <v>288</v>
      </c>
      <c r="L28" s="52" t="s">
        <v>288</v>
      </c>
      <c r="M28" s="52" t="s">
        <v>288</v>
      </c>
      <c r="N28" s="52" t="s">
        <v>288</v>
      </c>
      <c r="O28" s="84" t="s">
        <v>288</v>
      </c>
    </row>
    <row r="29" spans="1:15" x14ac:dyDescent="0.35">
      <c r="A29" s="100" t="s">
        <v>49</v>
      </c>
      <c r="B29" s="14">
        <v>1600000</v>
      </c>
      <c r="C29" s="58">
        <v>0</v>
      </c>
      <c r="D29" s="59">
        <v>0</v>
      </c>
      <c r="E29" s="101">
        <f t="shared" si="0"/>
        <v>0</v>
      </c>
      <c r="F29" s="92" t="s">
        <v>288</v>
      </c>
      <c r="G29" s="52" t="s">
        <v>288</v>
      </c>
      <c r="H29" s="52" t="s">
        <v>288</v>
      </c>
      <c r="I29" s="52" t="s">
        <v>288</v>
      </c>
      <c r="J29" s="52" t="s">
        <v>288</v>
      </c>
      <c r="K29" s="52" t="s">
        <v>288</v>
      </c>
      <c r="L29" s="52" t="s">
        <v>288</v>
      </c>
      <c r="M29" s="52" t="s">
        <v>288</v>
      </c>
      <c r="N29" s="52" t="s">
        <v>288</v>
      </c>
      <c r="O29" s="84" t="s">
        <v>288</v>
      </c>
    </row>
    <row r="30" spans="1:15" x14ac:dyDescent="0.35">
      <c r="A30" s="100" t="s">
        <v>31</v>
      </c>
      <c r="B30" s="34">
        <f>B28-B29</f>
        <v>3400000</v>
      </c>
      <c r="C30" s="58"/>
      <c r="D30" s="59"/>
      <c r="E30" s="101"/>
      <c r="F30" s="92"/>
      <c r="G30" s="52"/>
      <c r="H30" s="52"/>
      <c r="I30" s="52"/>
      <c r="J30" s="52"/>
      <c r="K30" s="52"/>
      <c r="L30" s="52"/>
      <c r="M30" s="52"/>
      <c r="N30" s="52"/>
      <c r="O30" s="84"/>
    </row>
    <row r="31" spans="1:15" ht="28" x14ac:dyDescent="0.35">
      <c r="A31" s="102" t="s">
        <v>258</v>
      </c>
      <c r="B31" s="76">
        <f>+B30/B28</f>
        <v>0.68</v>
      </c>
      <c r="C31" s="72">
        <v>0.1</v>
      </c>
      <c r="D31" s="71">
        <v>3</v>
      </c>
      <c r="E31" s="101">
        <f t="shared" si="0"/>
        <v>0.30000000000000004</v>
      </c>
      <c r="F31" s="85" t="s">
        <v>158</v>
      </c>
      <c r="G31" s="60" t="s">
        <v>159</v>
      </c>
      <c r="H31" s="60" t="s">
        <v>160</v>
      </c>
      <c r="I31" s="60" t="s">
        <v>150</v>
      </c>
      <c r="J31" s="60" t="s">
        <v>151</v>
      </c>
      <c r="K31" s="73" t="s">
        <v>161</v>
      </c>
      <c r="L31" s="60" t="s">
        <v>162</v>
      </c>
      <c r="M31" s="60" t="s">
        <v>152</v>
      </c>
      <c r="N31" s="60" t="s">
        <v>153</v>
      </c>
      <c r="O31" s="61" t="s">
        <v>154</v>
      </c>
    </row>
    <row r="32" spans="1:15" ht="32.5" customHeight="1" x14ac:dyDescent="0.35">
      <c r="A32" s="103" t="s">
        <v>92</v>
      </c>
      <c r="B32" s="77"/>
      <c r="C32" s="56">
        <f>+C33+C39</f>
        <v>0.1</v>
      </c>
      <c r="D32" s="57">
        <v>0.5</v>
      </c>
      <c r="E32" s="82">
        <f>+E33+E39</f>
        <v>0.2</v>
      </c>
      <c r="F32" s="83"/>
      <c r="G32" s="50"/>
      <c r="H32" s="50"/>
      <c r="I32" s="50"/>
      <c r="J32" s="50"/>
      <c r="K32" s="50"/>
      <c r="L32" s="50"/>
      <c r="M32" s="50"/>
      <c r="N32" s="50"/>
      <c r="O32" s="90"/>
    </row>
    <row r="33" spans="1:15" ht="33" customHeight="1" x14ac:dyDescent="0.35">
      <c r="A33" s="103" t="s">
        <v>287</v>
      </c>
      <c r="B33" s="77"/>
      <c r="C33" s="74">
        <f>SUM(C34:C37)</f>
        <v>0.08</v>
      </c>
      <c r="D33" s="71">
        <v>0.35</v>
      </c>
      <c r="E33" s="104">
        <f>SUM(E34:E38)</f>
        <v>0.16</v>
      </c>
      <c r="F33" s="83"/>
      <c r="G33" s="50"/>
      <c r="H33" s="50"/>
      <c r="I33" s="50"/>
      <c r="J33" s="50"/>
      <c r="K33" s="50"/>
      <c r="L33" s="50"/>
      <c r="M33" s="50"/>
      <c r="N33" s="50"/>
      <c r="O33" s="90"/>
    </row>
    <row r="34" spans="1:15" ht="21" x14ac:dyDescent="0.35">
      <c r="A34" s="100" t="s">
        <v>20</v>
      </c>
      <c r="B34" s="15">
        <v>500000</v>
      </c>
      <c r="C34" s="58">
        <v>0.02</v>
      </c>
      <c r="D34" s="59">
        <v>2</v>
      </c>
      <c r="E34" s="101">
        <f>C34*D34</f>
        <v>0.04</v>
      </c>
      <c r="F34" s="87" t="s">
        <v>201</v>
      </c>
      <c r="G34" s="75" t="s">
        <v>200</v>
      </c>
      <c r="H34" s="75" t="s">
        <v>202</v>
      </c>
      <c r="I34" s="75" t="s">
        <v>121</v>
      </c>
      <c r="J34" s="75" t="s">
        <v>121</v>
      </c>
      <c r="K34" s="75" t="s">
        <v>119</v>
      </c>
      <c r="L34" s="75" t="s">
        <v>120</v>
      </c>
      <c r="M34" s="75" t="s">
        <v>122</v>
      </c>
      <c r="N34" s="75" t="s">
        <v>123</v>
      </c>
      <c r="O34" s="88" t="s">
        <v>123</v>
      </c>
    </row>
    <row r="35" spans="1:15" ht="21" x14ac:dyDescent="0.35">
      <c r="A35" s="100" t="s">
        <v>21</v>
      </c>
      <c r="B35" s="15">
        <v>150000</v>
      </c>
      <c r="C35" s="58">
        <v>0.02</v>
      </c>
      <c r="D35" s="59">
        <v>2</v>
      </c>
      <c r="E35" s="101">
        <f t="shared" si="0"/>
        <v>0.04</v>
      </c>
      <c r="F35" s="87" t="s">
        <v>201</v>
      </c>
      <c r="G35" s="75" t="s">
        <v>200</v>
      </c>
      <c r="H35" s="75" t="s">
        <v>202</v>
      </c>
      <c r="I35" s="75" t="s">
        <v>121</v>
      </c>
      <c r="J35" s="75" t="s">
        <v>121</v>
      </c>
      <c r="K35" s="75" t="s">
        <v>119</v>
      </c>
      <c r="L35" s="75" t="s">
        <v>120</v>
      </c>
      <c r="M35" s="75" t="s">
        <v>122</v>
      </c>
      <c r="N35" s="75" t="s">
        <v>123</v>
      </c>
      <c r="O35" s="88" t="s">
        <v>123</v>
      </c>
    </row>
    <row r="36" spans="1:15" ht="21" x14ac:dyDescent="0.35">
      <c r="A36" s="100" t="s">
        <v>22</v>
      </c>
      <c r="B36" s="15">
        <v>300000</v>
      </c>
      <c r="C36" s="58">
        <v>0.02</v>
      </c>
      <c r="D36" s="59">
        <v>2</v>
      </c>
      <c r="E36" s="101">
        <f t="shared" si="0"/>
        <v>0.04</v>
      </c>
      <c r="F36" s="87" t="s">
        <v>201</v>
      </c>
      <c r="G36" s="75" t="s">
        <v>200</v>
      </c>
      <c r="H36" s="75" t="s">
        <v>202</v>
      </c>
      <c r="I36" s="75" t="s">
        <v>121</v>
      </c>
      <c r="J36" s="75" t="s">
        <v>121</v>
      </c>
      <c r="K36" s="75" t="s">
        <v>119</v>
      </c>
      <c r="L36" s="75" t="s">
        <v>120</v>
      </c>
      <c r="M36" s="75" t="s">
        <v>122</v>
      </c>
      <c r="N36" s="75" t="s">
        <v>123</v>
      </c>
      <c r="O36" s="88" t="s">
        <v>123</v>
      </c>
    </row>
    <row r="37" spans="1:15" ht="21" x14ac:dyDescent="0.35">
      <c r="A37" s="100" t="s">
        <v>23</v>
      </c>
      <c r="B37" s="15">
        <v>100000</v>
      </c>
      <c r="C37" s="58">
        <v>0.02</v>
      </c>
      <c r="D37" s="59">
        <v>2</v>
      </c>
      <c r="E37" s="101">
        <f t="shared" si="0"/>
        <v>0.04</v>
      </c>
      <c r="F37" s="87" t="s">
        <v>201</v>
      </c>
      <c r="G37" s="75" t="s">
        <v>200</v>
      </c>
      <c r="H37" s="75" t="s">
        <v>202</v>
      </c>
      <c r="I37" s="75" t="s">
        <v>121</v>
      </c>
      <c r="J37" s="75" t="s">
        <v>121</v>
      </c>
      <c r="K37" s="75" t="s">
        <v>119</v>
      </c>
      <c r="L37" s="75" t="s">
        <v>120</v>
      </c>
      <c r="M37" s="75" t="s">
        <v>122</v>
      </c>
      <c r="N37" s="75" t="s">
        <v>123</v>
      </c>
      <c r="O37" s="88" t="s">
        <v>123</v>
      </c>
    </row>
    <row r="38" spans="1:15" x14ac:dyDescent="0.35">
      <c r="A38" s="102" t="s">
        <v>24</v>
      </c>
      <c r="B38" s="16">
        <f>SUM(B34:B37)</f>
        <v>1050000</v>
      </c>
      <c r="C38" s="71"/>
      <c r="D38" s="71"/>
      <c r="E38" s="101">
        <f t="shared" si="0"/>
        <v>0</v>
      </c>
      <c r="F38" s="83"/>
      <c r="G38" s="50"/>
      <c r="H38" s="50"/>
      <c r="I38" s="50"/>
      <c r="J38" s="50"/>
      <c r="K38" s="50"/>
      <c r="L38" s="50"/>
      <c r="M38" s="50"/>
      <c r="N38" s="50"/>
      <c r="O38" s="90"/>
    </row>
    <row r="39" spans="1:15" ht="16.5" x14ac:dyDescent="0.35">
      <c r="A39" s="99" t="s">
        <v>283</v>
      </c>
      <c r="B39" s="65"/>
      <c r="C39" s="74">
        <f>SUM(C42)</f>
        <v>0.02</v>
      </c>
      <c r="D39" s="71">
        <v>0.15</v>
      </c>
      <c r="E39" s="104">
        <f>SUM(E42)</f>
        <v>0.04</v>
      </c>
      <c r="F39" s="83"/>
      <c r="G39" s="50"/>
      <c r="H39" s="50"/>
      <c r="I39" s="50"/>
      <c r="J39" s="50"/>
      <c r="K39" s="50"/>
      <c r="L39" s="50"/>
      <c r="M39" s="50"/>
      <c r="N39" s="50"/>
      <c r="O39" s="90"/>
    </row>
    <row r="40" spans="1:15" ht="28" x14ac:dyDescent="0.35">
      <c r="A40" s="100" t="s">
        <v>285</v>
      </c>
      <c r="B40" s="15">
        <v>1200000</v>
      </c>
      <c r="C40" s="58">
        <v>0</v>
      </c>
      <c r="D40" s="59">
        <v>0</v>
      </c>
      <c r="E40" s="101">
        <f t="shared" ref="E40:E41" si="1">C40*D40</f>
        <v>0</v>
      </c>
      <c r="F40" s="92" t="s">
        <v>288</v>
      </c>
      <c r="G40" s="52" t="s">
        <v>288</v>
      </c>
      <c r="H40" s="52" t="s">
        <v>288</v>
      </c>
      <c r="I40" s="52" t="s">
        <v>288</v>
      </c>
      <c r="J40" s="52" t="s">
        <v>288</v>
      </c>
      <c r="K40" s="52" t="s">
        <v>288</v>
      </c>
      <c r="L40" s="52" t="s">
        <v>288</v>
      </c>
      <c r="M40" s="52" t="s">
        <v>288</v>
      </c>
      <c r="N40" s="52" t="s">
        <v>288</v>
      </c>
      <c r="O40" s="84" t="s">
        <v>288</v>
      </c>
    </row>
    <row r="41" spans="1:15" ht="28" x14ac:dyDescent="0.35">
      <c r="A41" s="100" t="s">
        <v>284</v>
      </c>
      <c r="B41" s="15">
        <v>600000</v>
      </c>
      <c r="C41" s="58">
        <v>0</v>
      </c>
      <c r="D41" s="59">
        <v>0</v>
      </c>
      <c r="E41" s="101">
        <f t="shared" si="1"/>
        <v>0</v>
      </c>
      <c r="F41" s="92" t="s">
        <v>288</v>
      </c>
      <c r="G41" s="52" t="s">
        <v>288</v>
      </c>
      <c r="H41" s="52" t="s">
        <v>288</v>
      </c>
      <c r="I41" s="52" t="s">
        <v>288</v>
      </c>
      <c r="J41" s="52" t="s">
        <v>288</v>
      </c>
      <c r="K41" s="52" t="s">
        <v>288</v>
      </c>
      <c r="L41" s="52" t="s">
        <v>288</v>
      </c>
      <c r="M41" s="52" t="s">
        <v>288</v>
      </c>
      <c r="N41" s="52" t="s">
        <v>288</v>
      </c>
      <c r="O41" s="84" t="s">
        <v>288</v>
      </c>
    </row>
    <row r="42" spans="1:15" ht="28" x14ac:dyDescent="0.35">
      <c r="A42" s="100" t="s">
        <v>286</v>
      </c>
      <c r="B42" s="15">
        <f>+B40/B41</f>
        <v>2</v>
      </c>
      <c r="C42" s="70">
        <v>0.02</v>
      </c>
      <c r="D42" s="59">
        <v>2</v>
      </c>
      <c r="E42" s="101">
        <f>C42*D42</f>
        <v>0.04</v>
      </c>
      <c r="F42" s="85" t="s">
        <v>155</v>
      </c>
      <c r="G42" s="60" t="s">
        <v>156</v>
      </c>
      <c r="H42" s="60" t="s">
        <v>124</v>
      </c>
      <c r="I42" s="60" t="s">
        <v>125</v>
      </c>
      <c r="J42" s="60" t="s">
        <v>126</v>
      </c>
      <c r="K42" s="60" t="s">
        <v>157</v>
      </c>
      <c r="L42" s="60" t="s">
        <v>127</v>
      </c>
      <c r="M42" s="60" t="s">
        <v>128</v>
      </c>
      <c r="N42" s="60" t="s">
        <v>129</v>
      </c>
      <c r="O42" s="61" t="s">
        <v>130</v>
      </c>
    </row>
    <row r="43" spans="1:15" x14ac:dyDescent="0.35">
      <c r="A43" s="105" t="s">
        <v>93</v>
      </c>
      <c r="B43" s="16">
        <f>B38+B40-B41</f>
        <v>1650000</v>
      </c>
      <c r="C43" s="71"/>
      <c r="D43" s="71"/>
      <c r="E43" s="101"/>
      <c r="F43" s="83"/>
      <c r="G43" s="50"/>
      <c r="H43" s="50"/>
      <c r="I43" s="50"/>
      <c r="J43" s="50"/>
      <c r="K43" s="50"/>
      <c r="L43" s="50"/>
      <c r="M43" s="50"/>
      <c r="N43" s="50"/>
      <c r="O43" s="90"/>
    </row>
    <row r="44" spans="1:15" ht="16.5" x14ac:dyDescent="0.35">
      <c r="A44" s="99" t="s">
        <v>52</v>
      </c>
      <c r="B44" s="65"/>
      <c r="C44" s="56">
        <f>SUM(C45:C47)</f>
        <v>0.1</v>
      </c>
      <c r="D44" s="57">
        <v>1</v>
      </c>
      <c r="E44" s="82">
        <f>SUM(E45:E47)</f>
        <v>0.30000000000000004</v>
      </c>
      <c r="F44" s="83"/>
      <c r="G44" s="50"/>
      <c r="H44" s="50"/>
      <c r="I44" s="50"/>
      <c r="J44" s="50"/>
      <c r="K44" s="50"/>
      <c r="L44" s="50"/>
      <c r="M44" s="50"/>
      <c r="N44" s="50"/>
      <c r="O44" s="90"/>
    </row>
    <row r="45" spans="1:15" x14ac:dyDescent="0.35">
      <c r="A45" s="100" t="s">
        <v>31</v>
      </c>
      <c r="B45" s="14">
        <f>+B30</f>
        <v>3400000</v>
      </c>
      <c r="C45" s="58">
        <v>0</v>
      </c>
      <c r="D45" s="59">
        <v>0</v>
      </c>
      <c r="E45" s="101">
        <f t="shared" si="0"/>
        <v>0</v>
      </c>
      <c r="F45" s="92" t="s">
        <v>288</v>
      </c>
      <c r="G45" s="52" t="s">
        <v>288</v>
      </c>
      <c r="H45" s="52" t="s">
        <v>288</v>
      </c>
      <c r="I45" s="52" t="s">
        <v>288</v>
      </c>
      <c r="J45" s="52" t="s">
        <v>288</v>
      </c>
      <c r="K45" s="52" t="s">
        <v>288</v>
      </c>
      <c r="L45" s="52" t="s">
        <v>288</v>
      </c>
      <c r="M45" s="52" t="s">
        <v>288</v>
      </c>
      <c r="N45" s="52" t="s">
        <v>288</v>
      </c>
      <c r="O45" s="84" t="s">
        <v>288</v>
      </c>
    </row>
    <row r="46" spans="1:15" ht="28" x14ac:dyDescent="0.35">
      <c r="A46" s="100" t="s">
        <v>95</v>
      </c>
      <c r="B46" s="14">
        <v>1250000</v>
      </c>
      <c r="C46" s="58">
        <v>0</v>
      </c>
      <c r="D46" s="59">
        <v>0</v>
      </c>
      <c r="E46" s="101">
        <f t="shared" si="0"/>
        <v>0</v>
      </c>
      <c r="F46" s="92" t="s">
        <v>288</v>
      </c>
      <c r="G46" s="52" t="s">
        <v>288</v>
      </c>
      <c r="H46" s="52" t="s">
        <v>288</v>
      </c>
      <c r="I46" s="52" t="s">
        <v>288</v>
      </c>
      <c r="J46" s="52" t="s">
        <v>288</v>
      </c>
      <c r="K46" s="52" t="s">
        <v>288</v>
      </c>
      <c r="L46" s="52" t="s">
        <v>288</v>
      </c>
      <c r="M46" s="52" t="s">
        <v>288</v>
      </c>
      <c r="N46" s="52" t="s">
        <v>288</v>
      </c>
      <c r="O46" s="84" t="s">
        <v>288</v>
      </c>
    </row>
    <row r="47" spans="1:15" ht="28" x14ac:dyDescent="0.35">
      <c r="A47" s="102" t="s">
        <v>32</v>
      </c>
      <c r="B47" s="17">
        <f>+B45/B46</f>
        <v>2.72</v>
      </c>
      <c r="C47" s="72">
        <v>0.1</v>
      </c>
      <c r="D47" s="71">
        <v>3</v>
      </c>
      <c r="E47" s="104">
        <f t="shared" si="0"/>
        <v>0.30000000000000004</v>
      </c>
      <c r="F47" s="85" t="s">
        <v>141</v>
      </c>
      <c r="G47" s="60" t="s">
        <v>142</v>
      </c>
      <c r="H47" s="60" t="s">
        <v>143</v>
      </c>
      <c r="I47" s="60" t="s">
        <v>144</v>
      </c>
      <c r="J47" s="60">
        <f>3</f>
        <v>3</v>
      </c>
      <c r="K47" s="60" t="s">
        <v>145</v>
      </c>
      <c r="L47" s="60" t="s">
        <v>146</v>
      </c>
      <c r="M47" s="60" t="s">
        <v>147</v>
      </c>
      <c r="N47" s="60" t="s">
        <v>148</v>
      </c>
      <c r="O47" s="61" t="s">
        <v>149</v>
      </c>
    </row>
    <row r="48" spans="1:15" ht="16.5" x14ac:dyDescent="0.35">
      <c r="A48" s="99" t="s">
        <v>53</v>
      </c>
      <c r="B48" s="65"/>
      <c r="C48" s="56">
        <f>SUM(C49:C52)</f>
        <v>0.05</v>
      </c>
      <c r="D48" s="57">
        <v>1</v>
      </c>
      <c r="E48" s="82">
        <f>SUM(E49:E52)</f>
        <v>0.14000000000000001</v>
      </c>
      <c r="F48" s="83"/>
      <c r="G48" s="50"/>
      <c r="H48" s="50"/>
      <c r="I48" s="50"/>
      <c r="J48" s="50"/>
      <c r="K48" s="50"/>
      <c r="L48" s="50"/>
      <c r="M48" s="50"/>
      <c r="N48" s="50"/>
      <c r="O48" s="90"/>
    </row>
    <row r="49" spans="1:15" ht="42" x14ac:dyDescent="0.35">
      <c r="A49" s="100" t="s">
        <v>237</v>
      </c>
      <c r="B49" s="14">
        <v>2450000</v>
      </c>
      <c r="C49" s="58">
        <v>0.01</v>
      </c>
      <c r="D49" s="59">
        <v>4</v>
      </c>
      <c r="E49" s="101">
        <f>C49*D49</f>
        <v>0.04</v>
      </c>
      <c r="F49" s="87" t="s">
        <v>241</v>
      </c>
      <c r="G49" s="75" t="s">
        <v>242</v>
      </c>
      <c r="H49" s="75" t="s">
        <v>183</v>
      </c>
      <c r="I49" s="75" t="s">
        <v>183</v>
      </c>
      <c r="J49" s="75" t="s">
        <v>243</v>
      </c>
      <c r="K49" s="75" t="s">
        <v>244</v>
      </c>
      <c r="L49" s="75" t="s">
        <v>245</v>
      </c>
      <c r="M49" s="75" t="s">
        <v>246</v>
      </c>
      <c r="N49" s="75" t="s">
        <v>247</v>
      </c>
      <c r="O49" s="88" t="s">
        <v>248</v>
      </c>
    </row>
    <row r="50" spans="1:15" ht="28" x14ac:dyDescent="0.35">
      <c r="A50" s="100" t="s">
        <v>238</v>
      </c>
      <c r="B50" s="12" t="s">
        <v>50</v>
      </c>
      <c r="C50" s="58">
        <v>0.01</v>
      </c>
      <c r="D50" s="59">
        <v>3</v>
      </c>
      <c r="E50" s="101">
        <f>C50*D50</f>
        <v>0.03</v>
      </c>
      <c r="F50" s="89" t="s">
        <v>175</v>
      </c>
      <c r="G50" s="64" t="s">
        <v>176</v>
      </c>
      <c r="H50" s="64" t="s">
        <v>177</v>
      </c>
      <c r="I50" s="64" t="s">
        <v>177</v>
      </c>
      <c r="J50" s="64" t="s">
        <v>178</v>
      </c>
      <c r="K50" s="64" t="s">
        <v>179</v>
      </c>
      <c r="L50" s="64" t="s">
        <v>180</v>
      </c>
      <c r="M50" s="64" t="s">
        <v>181</v>
      </c>
      <c r="N50" s="64" t="s">
        <v>182</v>
      </c>
      <c r="O50" s="68" t="s">
        <v>182</v>
      </c>
    </row>
    <row r="51" spans="1:15" ht="42" x14ac:dyDescent="0.35">
      <c r="A51" s="100" t="s">
        <v>239</v>
      </c>
      <c r="B51" s="12" t="s">
        <v>29</v>
      </c>
      <c r="C51" s="58">
        <v>0.01</v>
      </c>
      <c r="D51" s="59">
        <v>3</v>
      </c>
      <c r="E51" s="101">
        <f>C51*D51</f>
        <v>0.03</v>
      </c>
      <c r="F51" s="87" t="s">
        <v>241</v>
      </c>
      <c r="G51" s="75" t="s">
        <v>242</v>
      </c>
      <c r="H51" s="75" t="s">
        <v>183</v>
      </c>
      <c r="I51" s="75" t="s">
        <v>183</v>
      </c>
      <c r="J51" s="75" t="s">
        <v>243</v>
      </c>
      <c r="K51" s="75" t="s">
        <v>244</v>
      </c>
      <c r="L51" s="75" t="s">
        <v>245</v>
      </c>
      <c r="M51" s="75" t="s">
        <v>246</v>
      </c>
      <c r="N51" s="75" t="s">
        <v>247</v>
      </c>
      <c r="O51" s="88" t="s">
        <v>248</v>
      </c>
    </row>
    <row r="52" spans="1:15" ht="42" x14ac:dyDescent="0.35">
      <c r="A52" s="100" t="s">
        <v>240</v>
      </c>
      <c r="B52" s="12" t="s">
        <v>33</v>
      </c>
      <c r="C52" s="58">
        <v>0.02</v>
      </c>
      <c r="D52" s="59">
        <v>2</v>
      </c>
      <c r="E52" s="101">
        <f>C52*D52</f>
        <v>0.04</v>
      </c>
      <c r="F52" s="87" t="s">
        <v>241</v>
      </c>
      <c r="G52" s="75" t="s">
        <v>242</v>
      </c>
      <c r="H52" s="75" t="s">
        <v>183</v>
      </c>
      <c r="I52" s="75" t="s">
        <v>183</v>
      </c>
      <c r="J52" s="75" t="s">
        <v>243</v>
      </c>
      <c r="K52" s="75" t="s">
        <v>244</v>
      </c>
      <c r="L52" s="75" t="s">
        <v>245</v>
      </c>
      <c r="M52" s="75" t="s">
        <v>246</v>
      </c>
      <c r="N52" s="75" t="s">
        <v>247</v>
      </c>
      <c r="O52" s="88" t="s">
        <v>248</v>
      </c>
    </row>
    <row r="53" spans="1:15" ht="16.5" x14ac:dyDescent="0.35">
      <c r="A53" s="99" t="s">
        <v>68</v>
      </c>
      <c r="B53" s="65"/>
      <c r="C53" s="56">
        <f>SUM(C55:C57)</f>
        <v>9.9999999999999992E-2</v>
      </c>
      <c r="D53" s="57">
        <v>1</v>
      </c>
      <c r="E53" s="82">
        <f>SUM(E54:E57)</f>
        <v>0.48999999999999994</v>
      </c>
      <c r="F53" s="83"/>
      <c r="G53" s="50"/>
      <c r="H53" s="50"/>
      <c r="I53" s="50"/>
      <c r="J53" s="50"/>
      <c r="K53" s="50"/>
      <c r="L53" s="50"/>
      <c r="M53" s="50"/>
      <c r="N53" s="50"/>
      <c r="O53" s="90"/>
    </row>
    <row r="54" spans="1:15" x14ac:dyDescent="0.35">
      <c r="A54" s="106" t="s">
        <v>39</v>
      </c>
      <c r="B54" s="17" t="s">
        <v>34</v>
      </c>
      <c r="C54" s="59"/>
      <c r="D54" s="59"/>
      <c r="E54" s="101"/>
      <c r="F54" s="83"/>
      <c r="G54" s="50"/>
      <c r="H54" s="50"/>
      <c r="I54" s="50"/>
      <c r="J54" s="50"/>
      <c r="K54" s="50"/>
      <c r="L54" s="50"/>
      <c r="M54" s="50"/>
      <c r="N54" s="50"/>
      <c r="O54" s="90"/>
    </row>
    <row r="55" spans="1:15" ht="42" x14ac:dyDescent="0.35">
      <c r="A55" s="100" t="s">
        <v>35</v>
      </c>
      <c r="B55" s="12" t="s">
        <v>70</v>
      </c>
      <c r="C55" s="58">
        <v>0.06</v>
      </c>
      <c r="D55" s="59">
        <v>5</v>
      </c>
      <c r="E55" s="101">
        <f t="shared" si="0"/>
        <v>0.3</v>
      </c>
      <c r="F55" s="89" t="s">
        <v>249</v>
      </c>
      <c r="G55" s="64" t="s">
        <v>250</v>
      </c>
      <c r="H55" s="64" t="s">
        <v>119</v>
      </c>
      <c r="I55" s="69" t="s">
        <v>251</v>
      </c>
      <c r="J55" s="64" t="s">
        <v>252</v>
      </c>
      <c r="K55" s="64" t="s">
        <v>253</v>
      </c>
      <c r="L55" s="64" t="s">
        <v>254</v>
      </c>
      <c r="M55" s="64" t="s">
        <v>255</v>
      </c>
      <c r="N55" s="64" t="s">
        <v>256</v>
      </c>
      <c r="O55" s="68" t="s">
        <v>257</v>
      </c>
    </row>
    <row r="56" spans="1:15" ht="28" x14ac:dyDescent="0.35">
      <c r="A56" s="100" t="s">
        <v>36</v>
      </c>
      <c r="B56" s="12" t="s">
        <v>69</v>
      </c>
      <c r="C56" s="58">
        <v>0.03</v>
      </c>
      <c r="D56" s="59">
        <v>5</v>
      </c>
      <c r="E56" s="101">
        <f t="shared" si="0"/>
        <v>0.15</v>
      </c>
      <c r="F56" s="89" t="s">
        <v>249</v>
      </c>
      <c r="G56" s="64" t="s">
        <v>250</v>
      </c>
      <c r="H56" s="64" t="s">
        <v>119</v>
      </c>
      <c r="I56" s="69" t="s">
        <v>251</v>
      </c>
      <c r="J56" s="64" t="s">
        <v>252</v>
      </c>
      <c r="K56" s="64" t="s">
        <v>253</v>
      </c>
      <c r="L56" s="64" t="s">
        <v>254</v>
      </c>
      <c r="M56" s="64" t="s">
        <v>255</v>
      </c>
      <c r="N56" s="64" t="s">
        <v>256</v>
      </c>
      <c r="O56" s="68" t="s">
        <v>257</v>
      </c>
    </row>
    <row r="57" spans="1:15" ht="28" x14ac:dyDescent="0.35">
      <c r="A57" s="100" t="s">
        <v>37</v>
      </c>
      <c r="B57" s="12" t="s">
        <v>38</v>
      </c>
      <c r="C57" s="58">
        <v>0.01</v>
      </c>
      <c r="D57" s="59">
        <v>4</v>
      </c>
      <c r="E57" s="101">
        <f t="shared" si="0"/>
        <v>0.04</v>
      </c>
      <c r="F57" s="89" t="s">
        <v>249</v>
      </c>
      <c r="G57" s="64" t="s">
        <v>250</v>
      </c>
      <c r="H57" s="64" t="s">
        <v>119</v>
      </c>
      <c r="I57" s="69" t="s">
        <v>251</v>
      </c>
      <c r="J57" s="64" t="s">
        <v>252</v>
      </c>
      <c r="K57" s="64" t="s">
        <v>253</v>
      </c>
      <c r="L57" s="64" t="s">
        <v>254</v>
      </c>
      <c r="M57" s="64" t="s">
        <v>255</v>
      </c>
      <c r="N57" s="64" t="s">
        <v>256</v>
      </c>
      <c r="O57" s="68" t="s">
        <v>257</v>
      </c>
    </row>
    <row r="58" spans="1:15" ht="17" thickBot="1" x14ac:dyDescent="0.4">
      <c r="A58" s="107" t="s">
        <v>57</v>
      </c>
      <c r="B58" s="108"/>
      <c r="C58" s="109">
        <f>C53+C44+C48+C32+C27+C20+C5+C13</f>
        <v>1</v>
      </c>
      <c r="D58" s="110">
        <f>D53+D44+D48+D32+D27+D20+D5+D13</f>
        <v>10</v>
      </c>
      <c r="E58" s="111">
        <f>E53+E44+E48+E32+E27+E20+E5+E13</f>
        <v>3.665</v>
      </c>
      <c r="F58" s="93"/>
      <c r="G58" s="94"/>
      <c r="H58" s="94"/>
      <c r="I58" s="94"/>
      <c r="J58" s="94"/>
      <c r="K58" s="94"/>
      <c r="L58" s="94"/>
      <c r="M58" s="94"/>
      <c r="N58" s="94"/>
      <c r="O58" s="95"/>
    </row>
  </sheetData>
  <mergeCells count="6">
    <mergeCell ref="A4:B4"/>
    <mergeCell ref="A58:B58"/>
    <mergeCell ref="A32:B32"/>
    <mergeCell ref="A33:B33"/>
    <mergeCell ref="A2:E3"/>
    <mergeCell ref="F2:O3"/>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DBFF-076E-49F1-AD58-04E95DB3FC97}">
  <dimension ref="A1:B21"/>
  <sheetViews>
    <sheetView showGridLines="0" topLeftCell="A9" workbookViewId="0">
      <selection activeCell="A14" sqref="A14"/>
    </sheetView>
  </sheetViews>
  <sheetFormatPr baseColWidth="10" defaultColWidth="9.1796875" defaultRowHeight="14.5" x14ac:dyDescent="0.35"/>
  <cols>
    <col min="1" max="1" width="70.81640625" customWidth="1"/>
    <col min="2" max="2" width="8.7265625" customWidth="1"/>
  </cols>
  <sheetData>
    <row r="1" spans="1:2" x14ac:dyDescent="0.35">
      <c r="A1" s="3" t="s">
        <v>72</v>
      </c>
    </row>
    <row r="2" spans="1:2" x14ac:dyDescent="0.35">
      <c r="A2" s="3" t="s">
        <v>71</v>
      </c>
    </row>
    <row r="4" spans="1:2" ht="43.5" x14ac:dyDescent="0.35">
      <c r="A4" s="38" t="s">
        <v>74</v>
      </c>
      <c r="B4" s="2"/>
    </row>
    <row r="5" spans="1:2" x14ac:dyDescent="0.35">
      <c r="A5" s="38"/>
      <c r="B5" s="2"/>
    </row>
    <row r="6" spans="1:2" ht="29" x14ac:dyDescent="0.35">
      <c r="A6" s="38" t="s">
        <v>75</v>
      </c>
      <c r="B6" s="2"/>
    </row>
    <row r="7" spans="1:2" x14ac:dyDescent="0.35">
      <c r="A7" s="38"/>
      <c r="B7" s="2"/>
    </row>
    <row r="8" spans="1:2" ht="43.5" x14ac:dyDescent="0.35">
      <c r="A8" s="38" t="s">
        <v>76</v>
      </c>
      <c r="B8" s="2"/>
    </row>
    <row r="9" spans="1:2" x14ac:dyDescent="0.35">
      <c r="A9" s="38"/>
      <c r="B9" s="2"/>
    </row>
    <row r="10" spans="1:2" ht="29" x14ac:dyDescent="0.35">
      <c r="A10" s="38" t="s">
        <v>77</v>
      </c>
      <c r="B10" s="2"/>
    </row>
    <row r="11" spans="1:2" x14ac:dyDescent="0.35">
      <c r="A11" s="38"/>
      <c r="B11" s="2"/>
    </row>
    <row r="12" spans="1:2" ht="43.5" x14ac:dyDescent="0.35">
      <c r="A12" s="38" t="s">
        <v>78</v>
      </c>
      <c r="B12" s="2"/>
    </row>
    <row r="13" spans="1:2" x14ac:dyDescent="0.35">
      <c r="A13" s="38"/>
      <c r="B13" s="2"/>
    </row>
    <row r="14" spans="1:2" ht="43.5" x14ac:dyDescent="0.35">
      <c r="A14" s="38" t="s">
        <v>79</v>
      </c>
      <c r="B14" s="2"/>
    </row>
    <row r="15" spans="1:2" x14ac:dyDescent="0.35">
      <c r="A15" s="38"/>
      <c r="B15" s="2"/>
    </row>
    <row r="16" spans="1:2" ht="29" x14ac:dyDescent="0.35">
      <c r="A16" s="38" t="s">
        <v>91</v>
      </c>
      <c r="B16" s="2"/>
    </row>
    <row r="17" spans="1:2" x14ac:dyDescent="0.35">
      <c r="A17" s="38"/>
      <c r="B17" s="2"/>
    </row>
    <row r="18" spans="1:2" ht="43.5" x14ac:dyDescent="0.35">
      <c r="A18" s="38" t="s">
        <v>90</v>
      </c>
      <c r="B18" s="2"/>
    </row>
    <row r="19" spans="1:2" x14ac:dyDescent="0.35">
      <c r="A19" s="39"/>
    </row>
    <row r="20" spans="1:2" x14ac:dyDescent="0.35">
      <c r="A20" s="40"/>
    </row>
    <row r="21" spans="1:2" x14ac:dyDescent="0.35">
      <c r="A21" s="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8FC4-D5D2-4C02-9C5C-60D3662E15F1}">
  <dimension ref="A1:C13"/>
  <sheetViews>
    <sheetView workbookViewId="0">
      <selection activeCell="C4" sqref="C4"/>
    </sheetView>
  </sheetViews>
  <sheetFormatPr baseColWidth="10" defaultColWidth="11.453125" defaultRowHeight="14.5" x14ac:dyDescent="0.35"/>
  <cols>
    <col min="1" max="1" width="80.54296875" customWidth="1"/>
    <col min="2" max="2" width="4.1796875" customWidth="1"/>
    <col min="3" max="3" width="80.26953125" customWidth="1"/>
  </cols>
  <sheetData>
    <row r="1" spans="1:3" ht="15.5" x14ac:dyDescent="0.35">
      <c r="A1" s="41" t="s">
        <v>73</v>
      </c>
    </row>
    <row r="2" spans="1:3" x14ac:dyDescent="0.35">
      <c r="A2" s="42" t="s">
        <v>71</v>
      </c>
    </row>
    <row r="3" spans="1:3" ht="116" x14ac:dyDescent="0.35">
      <c r="A3" s="43" t="s">
        <v>80</v>
      </c>
      <c r="B3" s="7"/>
      <c r="C3" s="43" t="s">
        <v>89</v>
      </c>
    </row>
    <row r="4" spans="1:3" x14ac:dyDescent="0.35">
      <c r="A4" s="7"/>
      <c r="B4" s="7"/>
      <c r="C4" s="7"/>
    </row>
    <row r="5" spans="1:3" ht="116" x14ac:dyDescent="0.35">
      <c r="A5" s="43" t="s">
        <v>81</v>
      </c>
      <c r="B5" s="7"/>
      <c r="C5" s="44" t="s">
        <v>88</v>
      </c>
    </row>
    <row r="6" spans="1:3" x14ac:dyDescent="0.35">
      <c r="A6" s="7"/>
      <c r="B6" s="7"/>
      <c r="C6" s="7"/>
    </row>
    <row r="7" spans="1:3" ht="130.5" x14ac:dyDescent="0.35">
      <c r="A7" s="44" t="s">
        <v>82</v>
      </c>
      <c r="B7" s="7"/>
      <c r="C7" s="43" t="s">
        <v>87</v>
      </c>
    </row>
    <row r="8" spans="1:3" x14ac:dyDescent="0.35">
      <c r="A8" s="7"/>
      <c r="B8" s="7"/>
      <c r="C8" s="7"/>
    </row>
    <row r="9" spans="1:3" ht="116" x14ac:dyDescent="0.35">
      <c r="A9" s="44" t="s">
        <v>83</v>
      </c>
      <c r="B9" s="7"/>
      <c r="C9" s="43" t="s">
        <v>86</v>
      </c>
    </row>
    <row r="10" spans="1:3" x14ac:dyDescent="0.35">
      <c r="A10" s="7"/>
      <c r="B10" s="7"/>
      <c r="C10" s="7"/>
    </row>
    <row r="11" spans="1:3" ht="116" x14ac:dyDescent="0.35">
      <c r="A11" s="44" t="s">
        <v>84</v>
      </c>
      <c r="B11" s="7"/>
      <c r="C11" s="43" t="s">
        <v>85</v>
      </c>
    </row>
    <row r="13" spans="1:3" x14ac:dyDescent="0.35">
      <c r="A1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GRILLE SCORING</vt:lpstr>
      <vt:lpstr>VALEURS DES SOUS-CRITERES</vt:lpstr>
      <vt:lpstr>DEFINITION DES NOTATIONS</vt:lpstr>
      <vt:lpstr>INTERPRETATION DES NOTATIONS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Eloundou Ngah Eric</dc:creator>
  <cp:lastModifiedBy>Eloundou Ngah Eric</cp:lastModifiedBy>
  <dcterms:created xsi:type="dcterms:W3CDTF">2025-07-12T07:39:15Z</dcterms:created>
  <dcterms:modified xsi:type="dcterms:W3CDTF">2025-08-06T08:12:04Z</dcterms:modified>
</cp:coreProperties>
</file>