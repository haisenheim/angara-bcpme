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eric\Desktop\PROGRAMME ELESYST 2024\SI ELESYST\PROJET ANGARA\DIVERS CONTRATS ET CONVENTIONS ANGARA\CONTRAT DIGITAILLE\DOSSIER TRANSMIS A DIGITAILLE\"/>
    </mc:Choice>
  </mc:AlternateContent>
  <bookViews>
    <workbookView xWindow="-120" yWindow="-120" windowWidth="20730" windowHeight="11160" tabRatio="761" activeTab="4"/>
  </bookViews>
  <sheets>
    <sheet name="Bilan" sheetId="22" r:id="rId1"/>
    <sheet name="Cpte Résultat" sheetId="23" r:id="rId2"/>
    <sheet name="Cash balance" sheetId="26" r:id="rId3"/>
    <sheet name="Flux Trésorerie" sheetId="24" r:id="rId4"/>
    <sheet name="GRILLE NOTATION" sheetId="7" r:id="rId5"/>
    <sheet name="INDICATEURS FIN" sheetId="25" r:id="rId6"/>
    <sheet name="GRILLE SOUCHE" sheetId="15" r:id="rId7"/>
    <sheet name="MARCHE" sheetId="11" r:id="rId8"/>
    <sheet name="DEFINITION DES NOTES" sheetId="16" r:id="rId9"/>
    <sheet name="NOTATION ELESYST DES PME" sheetId="18" r:id="rId10"/>
    <sheet name="COMMENTAIRES annexes" sheetId="17" r:id="rId11"/>
    <sheet name="listes annexes" sheetId="8" r:id="rId12"/>
    <sheet name="Tendances et prévisions" sheetId="27" r:id="rId13"/>
    <sheet name="Graphiques complémentaires" sheetId="28" r:id="rId14"/>
    <sheet name="tableaux annexes" sheetId="6" r:id="rId15"/>
  </sheets>
  <externalReferences>
    <externalReference r:id="rId16"/>
  </externalReferences>
  <definedNames>
    <definedName name="__sqn1">'[1]compte de res charge T5'!$N$42</definedName>
    <definedName name="__srn1">'[1]compte de res charge T5'!$L$43</definedName>
    <definedName name="__tqn1">'[1]T6 compte de resultat produit'!$I$22</definedName>
    <definedName name="__ttn1">'[1]T6 compte de resultat produit'!$O$24</definedName>
    <definedName name="_azn1">#REF!</definedName>
    <definedName name="_bkn1">#REF!</definedName>
    <definedName name="_bqn1">#REF!</definedName>
    <definedName name="_brn1">#REF!</definedName>
    <definedName name="_btn1">#REF!</definedName>
    <definedName name="_cin1">#REF!</definedName>
    <definedName name="_cpn1">#REF!</definedName>
    <definedName name="_cum3">'[1]BALANCE N'!$J$2:$J$1001</definedName>
    <definedName name="_dan1">#REF!</definedName>
    <definedName name="_dbn1">#REF!</definedName>
    <definedName name="_dcn1">#REF!</definedName>
    <definedName name="_ddn1">#REF!</definedName>
    <definedName name="_dfn1">#REF!</definedName>
    <definedName name="_dgn1">#REF!</definedName>
    <definedName name="_dhn1">#REF!</definedName>
    <definedName name="_din1">#REF!</definedName>
    <definedName name="_djn1">#REF!</definedName>
    <definedName name="_dkn1">#REF!</definedName>
    <definedName name="_dln1">#REF!</definedName>
    <definedName name="_dmn1">#REF!</definedName>
    <definedName name="_dnn1">#REF!</definedName>
    <definedName name="_dpn1">#REF!</definedName>
    <definedName name="_dqn1">#REF!</definedName>
    <definedName name="_drn1">#REF!</definedName>
    <definedName name="_dsn1">#REF!</definedName>
    <definedName name="_dtn1">#REF!</definedName>
    <definedName name="_rwn1">#REF!</definedName>
    <definedName name="_san1">'[1]compte de res charge T5'!$N$29</definedName>
    <definedName name="_scn1">'[1]compte de res charge T5'!$N$30</definedName>
    <definedName name="_sfn1">#REF!</definedName>
    <definedName name="_shn1">#REF!</definedName>
    <definedName name="_sln1">'[1]compte de res charge T5'!$N$38</definedName>
    <definedName name="_son1">#REF!</definedName>
    <definedName name="_sqn1">#REF!</definedName>
    <definedName name="_srn1">#REF!</definedName>
    <definedName name="_ssn1">#REF!</definedName>
    <definedName name="_tan1">#REF!</definedName>
    <definedName name="_tbn1">#REF!</definedName>
    <definedName name="_tcn1">#REF!</definedName>
    <definedName name="_tdn1">#REF!</definedName>
    <definedName name="_tfn1">'[1]T6 compte de resultat produit'!$O$14</definedName>
    <definedName name="_tgn1">#REF!</definedName>
    <definedName name="_thn1">#REF!</definedName>
    <definedName name="_tkn1">#REF!</definedName>
    <definedName name="_tln1">#REF!</definedName>
    <definedName name="_tnn1">#REF!</definedName>
    <definedName name="_Toc12343290" localSheetId="12">'Tendances et prévisions'!$B$7</definedName>
    <definedName name="_tqn1">#REF!</definedName>
    <definedName name="_tsn1">#REF!</definedName>
    <definedName name="_ttn1">#REF!</definedName>
    <definedName name="_txn1">#REF!</definedName>
    <definedName name="_uan1">'[1]T6 compte de resultat produit'!$O$28</definedName>
    <definedName name="_ucn1">'[1]T6 compte de resultat produit'!$O$29</definedName>
    <definedName name="_uen1">'[1]T6 compte de resultat produit'!$O$31</definedName>
    <definedName name="_ufn1">#REF!</definedName>
    <definedName name="_ugn1">#REF!</definedName>
    <definedName name="_uin1">#REF!</definedName>
    <definedName name="_ujn1">'[1]T6 compte de resultat produit'!$I$36</definedName>
    <definedName name="_uln1">'[1]T6 compte de resultat produit'!$O$39</definedName>
    <definedName name="_unn1">'[1]T6 compte de resultat produit'!$O$41</definedName>
    <definedName name="_uon1">#REF!</definedName>
    <definedName name="_upn1">#REF!</definedName>
    <definedName name="A">#REF!</definedName>
    <definedName name="aab">#REF!</definedName>
    <definedName name="Actifs_cessibles">'listes annexes'!$V:$V</definedName>
    <definedName name="adequation">'listes annexes'!$M:$M</definedName>
    <definedName name="Adresse">#REF!</definedName>
    <definedName name="aeb">#REF!</definedName>
    <definedName name="afb">#REF!</definedName>
    <definedName name="aga">#REF!</definedName>
    <definedName name="agb">#REF!</definedName>
    <definedName name="aha">#REF!</definedName>
    <definedName name="ahb">#REF!</definedName>
    <definedName name="aia">#REF!</definedName>
    <definedName name="aib">#REF!</definedName>
    <definedName name="aja">#REF!</definedName>
    <definedName name="ajb">#REF!</definedName>
    <definedName name="aka">#REF!</definedName>
    <definedName name="akb">#REF!</definedName>
    <definedName name="ala">#REF!</definedName>
    <definedName name="alb">#REF!</definedName>
    <definedName name="ama">#REF!</definedName>
    <definedName name="amb">#REF!</definedName>
    <definedName name="ana">#REF!</definedName>
    <definedName name="anb">#REF!</definedName>
    <definedName name="apa">#REF!</definedName>
    <definedName name="apb">#REF!</definedName>
    <definedName name="Appreciation">'listes annexes'!$S:$S</definedName>
    <definedName name="aqa">#REF!</definedName>
    <definedName name="aqb">#REF!</definedName>
    <definedName name="ara">#REF!</definedName>
    <definedName name="arb">#REF!</definedName>
    <definedName name="asa">#REF!</definedName>
    <definedName name="asb">#REF!</definedName>
    <definedName name="aza">#REF!</definedName>
    <definedName name="azb">#REF!</definedName>
    <definedName name="azn">#REF!</definedName>
    <definedName name="barriere">'listes annexes'!$F:$F</definedName>
    <definedName name="bba">#REF!</definedName>
    <definedName name="bbb">#REF!</definedName>
    <definedName name="bca">#REF!</definedName>
    <definedName name="bcb">#REF!</definedName>
    <definedName name="bda">#REF!</definedName>
    <definedName name="bdb">#REF!</definedName>
    <definedName name="bea">#REF!</definedName>
    <definedName name="beb">#REF!</definedName>
    <definedName name="bfa">#REF!</definedName>
    <definedName name="bfb">#REF!</definedName>
    <definedName name="bga">#REF!</definedName>
    <definedName name="bgb">#REF!</definedName>
    <definedName name="bha">#REF!</definedName>
    <definedName name="bhb">#REF!</definedName>
    <definedName name="bia">#REF!</definedName>
    <definedName name="bib">#REF!</definedName>
    <definedName name="bja">#REF!</definedName>
    <definedName name="bjb">#REF!</definedName>
    <definedName name="bkn">#REF!</definedName>
    <definedName name="bqa">#REF!</definedName>
    <definedName name="bqb">#REF!</definedName>
    <definedName name="bqn">#REF!</definedName>
    <definedName name="bra">#REF!</definedName>
    <definedName name="brb">#REF!</definedName>
    <definedName name="brn">#REF!</definedName>
    <definedName name="btn">#REF!</definedName>
    <definedName name="Cmmentaires">#REF!</definedName>
    <definedName name="code">[1]IDENTITE!$R$12</definedName>
    <definedName name="couts">'listes annexes'!$K:$K</definedName>
    <definedName name="cpn">#REF!</definedName>
    <definedName name="critere">'tableaux annexes'!$G:$G</definedName>
    <definedName name="_xlnm.Criteria">#REF!</definedName>
    <definedName name="dan">#REF!</definedName>
    <definedName name="Date_creation">#REF!</definedName>
    <definedName name="dbn">#REF!</definedName>
    <definedName name="dcn">#REF!</definedName>
    <definedName name="ddn">#REF!</definedName>
    <definedName name="dfn">#REF!</definedName>
    <definedName name="dgn">#REF!</definedName>
    <definedName name="dhn">#REF!</definedName>
    <definedName name="djn">#REF!</definedName>
    <definedName name="dkn">#REF!</definedName>
    <definedName name="dln">#REF!</definedName>
    <definedName name="dmn">#REF!</definedName>
    <definedName name="dnn">#REF!</definedName>
    <definedName name="dpn">#REF!</definedName>
    <definedName name="dqn">#REF!</definedName>
    <definedName name="drn">#REF!</definedName>
    <definedName name="dsn">#REF!</definedName>
    <definedName name="dtn">#REF!</definedName>
    <definedName name="marche">'listes annexes'!$C:$C</definedName>
    <definedName name="Matricule">#REF!</definedName>
    <definedName name="MHR">[1]IDENTITE!$S$18</definedName>
    <definedName name="n">'tableaux annexes'!$H:$H</definedName>
    <definedName name="Nom_DG">#REF!</definedName>
    <definedName name="Nom_entreprise">#REF!</definedName>
    <definedName name="Note_attribuee">#REF!</definedName>
    <definedName name="note_critere">'tableaux annexes'!$C:$C</definedName>
    <definedName name="note_numerique">'tableaux annexes'!$D:$D</definedName>
    <definedName name="note_pondere">'tableaux annexes'!$E:$E</definedName>
    <definedName name="note_ponderee">'tableaux annexes'!$E:$E</definedName>
    <definedName name="Ordre_enregistrement">#REF!</definedName>
    <definedName name="P">'tableaux annexes'!$I:$I</definedName>
    <definedName name="positionnement">'listes annexes'!$A:$A</definedName>
    <definedName name="positionnement_concurentiel">'tableaux annexes'!$C:$C</definedName>
    <definedName name="positionnement_concurrentiel">'tableaux annexes'!$C$3</definedName>
    <definedName name="pression">'listes annexes'!$E:$E</definedName>
    <definedName name="prevision">'listes annexes'!$J:$J</definedName>
    <definedName name="produit">'listes annexes'!$D:$D</definedName>
    <definedName name="qualite">'listes annexes'!$H:$H</definedName>
    <definedName name="Qualite_de_l_information">'listes annexes'!$T:$T</definedName>
    <definedName name="Qualite_de_la_strategie">'listes annexes'!$Q:$Q</definedName>
    <definedName name="Qualite_des_moyens">'listes annexes'!$R:$R</definedName>
    <definedName name="Qualite_du_profil_du_dirigeant">'listes annexes'!$N:$N</definedName>
    <definedName name="Qualite_du_systeme_d_information">'listes annexes'!$P:$P</definedName>
    <definedName name="Qualite_du_systeme_de_gouvernance">'listes annexes'!$O:$O</definedName>
    <definedName name="rpn">#REF!</definedName>
    <definedName name="rsn">#REF!</definedName>
    <definedName name="rwn">#REF!</definedName>
    <definedName name="san">'[1]compte de res charge T5'!$L$29</definedName>
    <definedName name="scn">'[1]compte de res charge T5'!$L$30</definedName>
    <definedName name="Secteur_activite">#REF!</definedName>
    <definedName name="sfd">'[1]BALANCE N'!$G$2:$G$1007</definedName>
    <definedName name="sfn">#REF!</definedName>
    <definedName name="shn">#REF!</definedName>
    <definedName name="Siege_social">#REF!</definedName>
    <definedName name="sln">'[1]compte de res charge T5'!$L$38</definedName>
    <definedName name="son">#REF!</definedName>
    <definedName name="Soutien_du_dirigeant">'listes annexes'!$U:$U</definedName>
    <definedName name="sqn">#REF!</definedName>
    <definedName name="ssn">#REF!</definedName>
    <definedName name="Statut_juridique">#REF!</definedName>
    <definedName name="succession">'listes annexes'!$I:$I</definedName>
    <definedName name="tan">#REF!</definedName>
    <definedName name="Taux_ponderation">#REF!</definedName>
    <definedName name="tbn">#REF!</definedName>
    <definedName name="tcn">#REF!</definedName>
    <definedName name="tdn">#REF!</definedName>
    <definedName name="Telephone">#REF!</definedName>
    <definedName name="tendance">'listes annexes'!$B:$B</definedName>
    <definedName name="tfn">'[1]T6 compte de resultat produit'!$M$14</definedName>
    <definedName name="tgn">#REF!</definedName>
    <definedName name="thn">#REF!</definedName>
    <definedName name="tkn">#REF!</definedName>
    <definedName name="tln">#REF!</definedName>
    <definedName name="tnn">#REF!</definedName>
    <definedName name="tqn">#REF!</definedName>
    <definedName name="tsn">#REF!</definedName>
    <definedName name="ttn">#REF!</definedName>
    <definedName name="twn">#REF!</definedName>
    <definedName name="txn">#REF!</definedName>
    <definedName name="uan">'[1]T6 compte de resultat produit'!$M$28</definedName>
    <definedName name="ucn">'[1]T6 compte de resultat produit'!$M$29</definedName>
    <definedName name="uen">'[1]T6 compte de resultat produit'!$M$31</definedName>
    <definedName name="ufn">#REF!</definedName>
    <definedName name="ugn">#REF!</definedName>
    <definedName name="uhn">#REF!</definedName>
    <definedName name="uin">#REF!</definedName>
    <definedName name="uln">'[1]T6 compte de resultat produit'!$M$39</definedName>
    <definedName name="unn">'[1]T6 compte de resultat produit'!$M$41</definedName>
    <definedName name="uon">#REF!</definedName>
    <definedName name="upn">#REF!</definedName>
    <definedName name="visibilite">'listes annexes'!$G:$G</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27" i="27" l="1"/>
  <c r="O28" i="28"/>
  <c r="P28" i="28"/>
  <c r="N28" i="28"/>
  <c r="O27" i="28"/>
  <c r="P27" i="28"/>
  <c r="N27" i="28"/>
  <c r="P26" i="28"/>
  <c r="O26" i="28"/>
  <c r="N26" i="28"/>
  <c r="J27" i="27"/>
  <c r="K27" i="27" l="1"/>
  <c r="L27" i="27"/>
  <c r="M27" i="27"/>
  <c r="N27" i="27"/>
  <c r="O27" i="27"/>
  <c r="D26" i="27"/>
  <c r="E26" i="27"/>
  <c r="F26" i="27"/>
  <c r="H26" i="27"/>
  <c r="G25" i="27"/>
  <c r="H25" i="27" s="1"/>
  <c r="F25" i="27"/>
  <c r="C10" i="27"/>
  <c r="L26" i="27"/>
  <c r="K26" i="27"/>
  <c r="J26" i="27"/>
  <c r="M25" i="27"/>
  <c r="M26" i="27" s="1"/>
  <c r="L24" i="27"/>
  <c r="K24" i="27"/>
  <c r="J24" i="27"/>
  <c r="M21" i="27"/>
  <c r="N21" i="27" s="1"/>
  <c r="L20" i="27"/>
  <c r="K20" i="27"/>
  <c r="J20" i="27"/>
  <c r="N18" i="27"/>
  <c r="M18" i="27"/>
  <c r="L17" i="27"/>
  <c r="K17" i="27"/>
  <c r="J17" i="27"/>
  <c r="M15" i="27"/>
  <c r="N15" i="27" s="1"/>
  <c r="L14" i="27"/>
  <c r="K14" i="27"/>
  <c r="J14" i="27"/>
  <c r="M11" i="27"/>
  <c r="L10" i="27"/>
  <c r="K10" i="27"/>
  <c r="J10" i="27"/>
  <c r="M9" i="27"/>
  <c r="M10" i="27" s="1"/>
  <c r="L8" i="27"/>
  <c r="K8" i="27"/>
  <c r="J8" i="27"/>
  <c r="M5" i="27"/>
  <c r="G26" i="27" l="1"/>
  <c r="N9" i="27"/>
  <c r="N10" i="27" s="1"/>
  <c r="N5" i="27"/>
  <c r="M6" i="27"/>
  <c r="N11" i="27"/>
  <c r="O11" i="27" s="1"/>
  <c r="M12" i="27"/>
  <c r="O15" i="27"/>
  <c r="O18" i="27"/>
  <c r="O21" i="27"/>
  <c r="N25" i="27"/>
  <c r="N26" i="27" s="1"/>
  <c r="O5" i="27"/>
  <c r="M16" i="27"/>
  <c r="M17" i="27" s="1"/>
  <c r="M19" i="27"/>
  <c r="M20" i="27" s="1"/>
  <c r="M22" i="27"/>
  <c r="O25" i="27"/>
  <c r="O26" i="27" s="1"/>
  <c r="D24" i="27"/>
  <c r="E24" i="27"/>
  <c r="D20" i="27"/>
  <c r="E20" i="27"/>
  <c r="D17" i="27"/>
  <c r="E17" i="27"/>
  <c r="D14" i="27"/>
  <c r="E14" i="27"/>
  <c r="D10" i="27"/>
  <c r="E10" i="27"/>
  <c r="F9" i="27"/>
  <c r="G9" i="27" s="1"/>
  <c r="D8" i="27"/>
  <c r="E8" i="27"/>
  <c r="E27" i="27" s="1"/>
  <c r="F5" i="27"/>
  <c r="F22" i="27" s="1"/>
  <c r="F21" i="27"/>
  <c r="G21" i="27" s="1"/>
  <c r="F18" i="27"/>
  <c r="G18" i="27" s="1"/>
  <c r="H18" i="27" s="1"/>
  <c r="F15" i="27"/>
  <c r="G15" i="27" s="1"/>
  <c r="H15" i="27" s="1"/>
  <c r="C14" i="27"/>
  <c r="F11" i="27"/>
  <c r="G11" i="27" s="1"/>
  <c r="H11" i="27" s="1"/>
  <c r="C26" i="27"/>
  <c r="C24" i="27"/>
  <c r="C20" i="27"/>
  <c r="C17" i="27"/>
  <c r="C8" i="27"/>
  <c r="D27" i="27" l="1"/>
  <c r="N12" i="27"/>
  <c r="N6" i="27"/>
  <c r="O6" i="27" s="1"/>
  <c r="F10" i="27"/>
  <c r="O9" i="27"/>
  <c r="O10" i="27" s="1"/>
  <c r="O12" i="27"/>
  <c r="N22" i="27"/>
  <c r="N19" i="27"/>
  <c r="N16" i="27"/>
  <c r="M13" i="27"/>
  <c r="M14" i="27" s="1"/>
  <c r="M23" i="27"/>
  <c r="M24" i="27" s="1"/>
  <c r="M7" i="27"/>
  <c r="O22" i="27"/>
  <c r="F12" i="27"/>
  <c r="F16" i="27"/>
  <c r="F17" i="27" s="1"/>
  <c r="F19" i="27"/>
  <c r="F20" i="27" s="1"/>
  <c r="H21" i="27"/>
  <c r="G10" i="27"/>
  <c r="H9" i="27"/>
  <c r="H10" i="27" s="1"/>
  <c r="G5" i="27"/>
  <c r="G22" i="27" s="1"/>
  <c r="F6" i="27"/>
  <c r="D77" i="25"/>
  <c r="F36" i="25"/>
  <c r="D36" i="25"/>
  <c r="N7" i="27" l="1"/>
  <c r="N8" i="27" s="1"/>
  <c r="G16" i="27"/>
  <c r="G17" i="27" s="1"/>
  <c r="M8" i="27"/>
  <c r="N13" i="27"/>
  <c r="N14" i="27" s="1"/>
  <c r="N20" i="27"/>
  <c r="O19" i="27"/>
  <c r="O20" i="27" s="1"/>
  <c r="N23" i="27"/>
  <c r="O23" i="27" s="1"/>
  <c r="O24" i="27" s="1"/>
  <c r="O16" i="27"/>
  <c r="O17" i="27" s="1"/>
  <c r="N17" i="27"/>
  <c r="G19" i="27"/>
  <c r="G20" i="27" s="1"/>
  <c r="G6" i="27"/>
  <c r="G12" i="27"/>
  <c r="F23" i="27"/>
  <c r="F24" i="27" s="1"/>
  <c r="F13" i="27"/>
  <c r="F14" i="27" s="1"/>
  <c r="F7" i="27"/>
  <c r="H5" i="27"/>
  <c r="H2" i="15"/>
  <c r="B2" i="15"/>
  <c r="H1" i="15"/>
  <c r="B1" i="15"/>
  <c r="G3" i="25"/>
  <c r="G2" i="25"/>
  <c r="B3" i="25"/>
  <c r="B2" i="25"/>
  <c r="H2" i="7"/>
  <c r="H1" i="7"/>
  <c r="B2" i="7"/>
  <c r="B1" i="7"/>
  <c r="J3" i="24"/>
  <c r="J2" i="24"/>
  <c r="D3" i="24"/>
  <c r="D2" i="24"/>
  <c r="F3" i="26"/>
  <c r="F2" i="26"/>
  <c r="C3" i="26"/>
  <c r="C2" i="26"/>
  <c r="A52" i="26"/>
  <c r="A51" i="26"/>
  <c r="A50" i="26"/>
  <c r="A49" i="26"/>
  <c r="A46" i="26"/>
  <c r="A45" i="26"/>
  <c r="A44" i="26"/>
  <c r="A43" i="26"/>
  <c r="A42" i="26"/>
  <c r="A39" i="26"/>
  <c r="A36" i="26"/>
  <c r="A25" i="26"/>
  <c r="A22" i="26"/>
  <c r="A15" i="26"/>
  <c r="A10" i="26"/>
  <c r="J3" i="23"/>
  <c r="J2" i="23"/>
  <c r="D3" i="23"/>
  <c r="D2" i="23"/>
  <c r="O7" i="27" l="1"/>
  <c r="O8" i="27" s="1"/>
  <c r="O13" i="27"/>
  <c r="O14" i="27" s="1"/>
  <c r="N24" i="27"/>
  <c r="G7" i="27"/>
  <c r="G8" i="27" s="1"/>
  <c r="H19" i="27"/>
  <c r="H20" i="27" s="1"/>
  <c r="H12" i="27"/>
  <c r="H6" i="27"/>
  <c r="H7" i="27" s="1"/>
  <c r="H16" i="27"/>
  <c r="H17" i="27" s="1"/>
  <c r="F8" i="27"/>
  <c r="F27" i="27" s="1"/>
  <c r="G23" i="27"/>
  <c r="G13" i="27"/>
  <c r="H22" i="27"/>
  <c r="K37" i="24"/>
  <c r="K36" i="24"/>
  <c r="K35" i="24"/>
  <c r="K31" i="24"/>
  <c r="K30" i="24"/>
  <c r="K29" i="24"/>
  <c r="K28" i="24"/>
  <c r="K23" i="24"/>
  <c r="I37" i="24"/>
  <c r="I36" i="24"/>
  <c r="I35" i="24"/>
  <c r="I31" i="24"/>
  <c r="I30" i="24"/>
  <c r="I29" i="24"/>
  <c r="I28" i="24"/>
  <c r="I21" i="24"/>
  <c r="F52" i="26"/>
  <c r="D52" i="26"/>
  <c r="F46" i="26"/>
  <c r="D46" i="26"/>
  <c r="F36" i="26"/>
  <c r="K24" i="24" s="1"/>
  <c r="D36" i="26"/>
  <c r="I24" i="24" s="1"/>
  <c r="F25" i="26"/>
  <c r="D25" i="26"/>
  <c r="I23" i="24" s="1"/>
  <c r="F22" i="26"/>
  <c r="K22" i="24" s="1"/>
  <c r="F15" i="26"/>
  <c r="F39" i="26" s="1"/>
  <c r="F10" i="26"/>
  <c r="K20" i="24" s="1"/>
  <c r="D22" i="26"/>
  <c r="I22" i="24" s="1"/>
  <c r="D15" i="26"/>
  <c r="D10" i="26"/>
  <c r="I20" i="24" s="1"/>
  <c r="K14" i="24"/>
  <c r="K13" i="24"/>
  <c r="F76" i="25"/>
  <c r="H8" i="27" l="1"/>
  <c r="G24" i="27"/>
  <c r="H23" i="27"/>
  <c r="H24" i="27" s="1"/>
  <c r="G14" i="27"/>
  <c r="G27" i="27" s="1"/>
  <c r="H13" i="27"/>
  <c r="H14" i="27" s="1"/>
  <c r="D39" i="26"/>
  <c r="K21" i="24"/>
  <c r="K8" i="24"/>
  <c r="H76" i="25"/>
  <c r="D90" i="25"/>
  <c r="G37" i="7" s="1"/>
  <c r="F77" i="25"/>
  <c r="F90" i="25" s="1"/>
  <c r="D76" i="25"/>
  <c r="F89" i="25"/>
  <c r="D89" i="25"/>
  <c r="G36" i="7" s="1"/>
  <c r="K35" i="15"/>
  <c r="H77" i="25" l="1"/>
  <c r="H27" i="27"/>
  <c r="T34" i="22"/>
  <c r="T26" i="22"/>
  <c r="H89" i="25"/>
  <c r="K12" i="24" l="1"/>
  <c r="F52" i="25"/>
  <c r="F53" i="25"/>
  <c r="F67" i="25"/>
  <c r="D53" i="25"/>
  <c r="F34" i="25"/>
  <c r="F33" i="25"/>
  <c r="F31" i="25"/>
  <c r="F29" i="25"/>
  <c r="F28" i="25"/>
  <c r="F26" i="25"/>
  <c r="F24" i="25"/>
  <c r="F23" i="25"/>
  <c r="F19" i="25"/>
  <c r="D34" i="25"/>
  <c r="D33" i="25"/>
  <c r="H33" i="25" s="1"/>
  <c r="D31" i="25"/>
  <c r="D29" i="25"/>
  <c r="H29" i="25" s="1"/>
  <c r="D28" i="25"/>
  <c r="D26" i="25"/>
  <c r="H26" i="25" s="1"/>
  <c r="D24" i="25"/>
  <c r="D23" i="25"/>
  <c r="H23" i="25" s="1"/>
  <c r="H36" i="25"/>
  <c r="H32" i="25"/>
  <c r="H30" i="25"/>
  <c r="H28" i="25"/>
  <c r="H27" i="25"/>
  <c r="H21" i="25"/>
  <c r="H11" i="25"/>
  <c r="K38" i="24"/>
  <c r="I38" i="24"/>
  <c r="K32" i="24"/>
  <c r="K39" i="24" s="1"/>
  <c r="F62" i="25" s="1"/>
  <c r="I32" i="24"/>
  <c r="I39" i="24" s="1"/>
  <c r="D62" i="25" s="1"/>
  <c r="K25" i="24"/>
  <c r="F61" i="25" s="1"/>
  <c r="I25" i="24"/>
  <c r="D61" i="25" s="1"/>
  <c r="K48" i="23"/>
  <c r="I48" i="23"/>
  <c r="D19" i="25" s="1"/>
  <c r="K42" i="23"/>
  <c r="F17" i="25" s="1"/>
  <c r="I42" i="23"/>
  <c r="D17" i="25" s="1"/>
  <c r="K17" i="23"/>
  <c r="K13" i="23"/>
  <c r="F13" i="25" s="1"/>
  <c r="I13" i="23"/>
  <c r="I17" i="23"/>
  <c r="K38" i="22"/>
  <c r="V37" i="22"/>
  <c r="F57" i="25" s="1"/>
  <c r="M37" i="22"/>
  <c r="K36" i="22"/>
  <c r="K35" i="22"/>
  <c r="V34" i="22"/>
  <c r="K15" i="24" s="1"/>
  <c r="K16" i="24" s="1"/>
  <c r="I37" i="22"/>
  <c r="K34" i="22"/>
  <c r="M33" i="22"/>
  <c r="K32" i="22"/>
  <c r="K31" i="22"/>
  <c r="I14" i="24" s="1"/>
  <c r="K30" i="22"/>
  <c r="K29" i="22"/>
  <c r="I15" i="24"/>
  <c r="K28" i="22"/>
  <c r="I13" i="24" s="1"/>
  <c r="I33" i="22"/>
  <c r="G33" i="22"/>
  <c r="V26" i="22"/>
  <c r="F45" i="25" s="1"/>
  <c r="M26" i="22"/>
  <c r="M39" i="22" s="1"/>
  <c r="K25" i="22"/>
  <c r="K24" i="22"/>
  <c r="D45" i="25"/>
  <c r="K23" i="22"/>
  <c r="V22" i="22"/>
  <c r="K22" i="22"/>
  <c r="K21" i="22"/>
  <c r="K20" i="22"/>
  <c r="K19" i="22"/>
  <c r="K18" i="22"/>
  <c r="K17" i="22"/>
  <c r="K16" i="22"/>
  <c r="K15" i="22"/>
  <c r="K14" i="22"/>
  <c r="I26" i="22"/>
  <c r="K13" i="22"/>
  <c r="T22" i="22"/>
  <c r="G26" i="22"/>
  <c r="H41" i="7"/>
  <c r="I41" i="7"/>
  <c r="H39" i="7"/>
  <c r="H5" i="7"/>
  <c r="I5" i="7" s="1"/>
  <c r="K31" i="23" l="1"/>
  <c r="F14" i="25" s="1"/>
  <c r="I31" i="23"/>
  <c r="D14" i="25" s="1"/>
  <c r="H34" i="25"/>
  <c r="F12" i="25"/>
  <c r="F66" i="25"/>
  <c r="I8" i="24"/>
  <c r="K44" i="24"/>
  <c r="F83" i="25"/>
  <c r="F50" i="25"/>
  <c r="V27" i="22"/>
  <c r="V39" i="22" s="1"/>
  <c r="F87" i="25"/>
  <c r="F82" i="25"/>
  <c r="F79" i="25"/>
  <c r="F44" i="25"/>
  <c r="F49" i="25"/>
  <c r="F51" i="25" s="1"/>
  <c r="F47" i="25"/>
  <c r="T27" i="22"/>
  <c r="D87" i="25"/>
  <c r="G34" i="7" s="1"/>
  <c r="H34" i="7" s="1"/>
  <c r="H62" i="25"/>
  <c r="F88" i="25"/>
  <c r="H31" i="25"/>
  <c r="H45" i="25"/>
  <c r="F68" i="25"/>
  <c r="H53" i="25"/>
  <c r="F54" i="25"/>
  <c r="H19" i="25"/>
  <c r="H24" i="25"/>
  <c r="H17" i="25"/>
  <c r="D13" i="25"/>
  <c r="H13" i="25" s="1"/>
  <c r="D12" i="25"/>
  <c r="D50" i="25"/>
  <c r="D44" i="25"/>
  <c r="H44" i="25" s="1"/>
  <c r="K26" i="22"/>
  <c r="D47" i="25" s="1"/>
  <c r="H47" i="25" s="1"/>
  <c r="F46" i="25"/>
  <c r="H61" i="25"/>
  <c r="I39" i="22"/>
  <c r="K33" i="22"/>
  <c r="D83" i="25" s="1"/>
  <c r="K12" i="22"/>
  <c r="G37" i="22"/>
  <c r="T37" i="22"/>
  <c r="K27" i="22"/>
  <c r="B18" i="11"/>
  <c r="B17" i="11"/>
  <c r="B16" i="11"/>
  <c r="B15" i="11"/>
  <c r="B14" i="11"/>
  <c r="B13" i="11"/>
  <c r="B12" i="11"/>
  <c r="B11" i="11"/>
  <c r="B10" i="11"/>
  <c r="B9" i="11"/>
  <c r="K33" i="23" l="1"/>
  <c r="F15" i="25" s="1"/>
  <c r="F22" i="25" s="1"/>
  <c r="F25" i="25" s="1"/>
  <c r="F35" i="25" s="1"/>
  <c r="F80" i="25" s="1"/>
  <c r="H14" i="25"/>
  <c r="I33" i="23"/>
  <c r="D15" i="25" s="1"/>
  <c r="F84" i="25"/>
  <c r="H50" i="25"/>
  <c r="D46" i="25"/>
  <c r="H46" i="25"/>
  <c r="F48" i="25"/>
  <c r="G30" i="7"/>
  <c r="H83" i="25"/>
  <c r="H90" i="25" s="1"/>
  <c r="H12" i="25"/>
  <c r="D88" i="25"/>
  <c r="D84" i="25"/>
  <c r="F37" i="25"/>
  <c r="K11" i="24"/>
  <c r="K17" i="24" s="1"/>
  <c r="F81" i="25" s="1"/>
  <c r="F55" i="25"/>
  <c r="F78" i="25" s="1"/>
  <c r="D22" i="25"/>
  <c r="H15" i="25"/>
  <c r="T39" i="22"/>
  <c r="D66" i="25"/>
  <c r="H66" i="25" s="1"/>
  <c r="D52" i="25"/>
  <c r="I12" i="24"/>
  <c r="D49" i="25"/>
  <c r="D48" i="25"/>
  <c r="K36" i="23"/>
  <c r="I36" i="23"/>
  <c r="G39" i="22"/>
  <c r="K39" i="22" s="1"/>
  <c r="D79" i="25" s="1"/>
  <c r="K37" i="22"/>
  <c r="I44" i="24" s="1"/>
  <c r="K43" i="23" l="1"/>
  <c r="K51" i="23" s="1"/>
  <c r="F20" i="25" s="1"/>
  <c r="F16" i="25"/>
  <c r="G26" i="7"/>
  <c r="H79" i="25"/>
  <c r="P42" i="22"/>
  <c r="D82" i="25"/>
  <c r="G31" i="7"/>
  <c r="H31" i="7" s="1"/>
  <c r="H84" i="25"/>
  <c r="F56" i="25"/>
  <c r="G35" i="7"/>
  <c r="H88" i="25"/>
  <c r="H48" i="25"/>
  <c r="F60" i="25"/>
  <c r="F63" i="25" s="1"/>
  <c r="K41" i="24"/>
  <c r="K42" i="24" s="1"/>
  <c r="K45" i="24" s="1"/>
  <c r="I43" i="23"/>
  <c r="D16" i="25"/>
  <c r="D85" i="25" s="1"/>
  <c r="H22" i="25"/>
  <c r="D25" i="25"/>
  <c r="D67" i="25"/>
  <c r="D57" i="25"/>
  <c r="I16" i="24"/>
  <c r="H49" i="25"/>
  <c r="D51" i="25"/>
  <c r="D54" i="25"/>
  <c r="H54" i="25" s="1"/>
  <c r="H52" i="25"/>
  <c r="F18" i="25" l="1"/>
  <c r="F40" i="25"/>
  <c r="F85" i="25"/>
  <c r="G29" i="7"/>
  <c r="H29" i="7" s="1"/>
  <c r="H82" i="25"/>
  <c r="G32" i="7"/>
  <c r="H32" i="7" s="1"/>
  <c r="H85" i="25"/>
  <c r="F41" i="25"/>
  <c r="F86" i="25"/>
  <c r="I51" i="23"/>
  <c r="D18" i="25"/>
  <c r="H18" i="25" s="1"/>
  <c r="D35" i="25"/>
  <c r="D80" i="25" s="1"/>
  <c r="H25" i="25"/>
  <c r="D40" i="25"/>
  <c r="H40" i="25" s="1"/>
  <c r="H16" i="25"/>
  <c r="H67" i="25"/>
  <c r="D68" i="25"/>
  <c r="H68" i="25" s="1"/>
  <c r="D55" i="25"/>
  <c r="D78" i="25" s="1"/>
  <c r="H51" i="25"/>
  <c r="G25" i="7" l="1"/>
  <c r="H78" i="25"/>
  <c r="G27" i="7"/>
  <c r="H80" i="25"/>
  <c r="H87" i="25" s="1"/>
  <c r="I11" i="24"/>
  <c r="I17" i="24" s="1"/>
  <c r="D81" i="25" s="1"/>
  <c r="H35" i="25"/>
  <c r="D37" i="25"/>
  <c r="H37" i="25" s="1"/>
  <c r="D20" i="25"/>
  <c r="D86" i="25" s="1"/>
  <c r="H55" i="25"/>
  <c r="D56" i="25"/>
  <c r="H56" i="25" s="1"/>
  <c r="I31" i="7"/>
  <c r="H6" i="7"/>
  <c r="I6" i="7" s="1"/>
  <c r="H7" i="7"/>
  <c r="I7" i="7" s="1"/>
  <c r="H8" i="7"/>
  <c r="I8" i="7" s="1"/>
  <c r="H9" i="7"/>
  <c r="I9" i="7" s="1"/>
  <c r="H10" i="7"/>
  <c r="I10" i="7" s="1"/>
  <c r="H11" i="7"/>
  <c r="I11" i="7" s="1"/>
  <c r="H13" i="7"/>
  <c r="I13" i="7" s="1"/>
  <c r="H14" i="7"/>
  <c r="I14" i="7" s="1"/>
  <c r="H15" i="7"/>
  <c r="I15" i="7" s="1"/>
  <c r="H16" i="7"/>
  <c r="I16" i="7" s="1"/>
  <c r="H17" i="7"/>
  <c r="I17" i="7" s="1"/>
  <c r="H18" i="7"/>
  <c r="I18" i="7" s="1"/>
  <c r="H19" i="7"/>
  <c r="I19" i="7" s="1"/>
  <c r="H20" i="7"/>
  <c r="I20" i="7" s="1"/>
  <c r="H21" i="7"/>
  <c r="I21" i="7" s="1"/>
  <c r="H22" i="7"/>
  <c r="I22" i="7" s="1"/>
  <c r="H35" i="7"/>
  <c r="I35" i="7" s="1"/>
  <c r="H36" i="7"/>
  <c r="I36" i="7" s="1"/>
  <c r="I39" i="7"/>
  <c r="H40" i="7"/>
  <c r="I40" i="7" s="1"/>
  <c r="H42" i="7"/>
  <c r="I42" i="7" s="1"/>
  <c r="G33" i="7" l="1"/>
  <c r="H33" i="7" s="1"/>
  <c r="I33" i="7" s="1"/>
  <c r="H86" i="25"/>
  <c r="G28" i="7"/>
  <c r="H28" i="7" s="1"/>
  <c r="H81" i="25"/>
  <c r="D41" i="25"/>
  <c r="H41" i="25" s="1"/>
  <c r="H20" i="25"/>
  <c r="D60" i="25"/>
  <c r="I41" i="24"/>
  <c r="I42" i="24" s="1"/>
  <c r="I45" i="24" s="1"/>
  <c r="J22" i="7"/>
  <c r="J11" i="7"/>
  <c r="J42" i="7"/>
  <c r="D63" i="25" l="1"/>
  <c r="H63" i="25" s="1"/>
  <c r="H60" i="25"/>
  <c r="H37" i="7"/>
  <c r="I37" i="7" s="1"/>
  <c r="H30" i="7" l="1"/>
  <c r="I30" i="7" s="1"/>
  <c r="H27" i="7" l="1"/>
  <c r="I27" i="7" s="1"/>
  <c r="I28" i="7"/>
  <c r="H26" i="7" l="1"/>
  <c r="I26" i="7" s="1"/>
  <c r="I32" i="7"/>
  <c r="I34" i="7"/>
  <c r="I29" i="7"/>
  <c r="H25" i="7" l="1"/>
  <c r="I25" i="7" s="1"/>
  <c r="J37" i="7" s="1"/>
  <c r="G44" i="7" s="1"/>
  <c r="I44" i="7" s="1"/>
</calcChain>
</file>

<file path=xl/sharedStrings.xml><?xml version="1.0" encoding="utf-8"?>
<sst xmlns="http://schemas.openxmlformats.org/spreadsheetml/2006/main" count="1773" uniqueCount="1019">
  <si>
    <t>PONDERATION</t>
  </si>
  <si>
    <t>CRITERES</t>
  </si>
  <si>
    <t>ACTIVITE</t>
  </si>
  <si>
    <t>positionnement concurentiel sur le marché</t>
  </si>
  <si>
    <t>Marchés cycliques ou à prix volatils</t>
  </si>
  <si>
    <t>Portefeuille produit</t>
  </si>
  <si>
    <t>Pression liée à la clientèle</t>
  </si>
  <si>
    <t>Barrière à l'entrée</t>
  </si>
  <si>
    <t>Visibilité du secteur</t>
  </si>
  <si>
    <t>GESTION ET STRATEGIE</t>
  </si>
  <si>
    <t>Qualité de la Stratégie commerciale et marketing</t>
  </si>
  <si>
    <t>Qualité des Moyens humains et techniques</t>
  </si>
  <si>
    <t>Qualité des prévisions</t>
  </si>
  <si>
    <t>Qualité des relations sociales</t>
  </si>
  <si>
    <t>Succession des Dirigeants</t>
  </si>
  <si>
    <t>FINANCIER</t>
  </si>
  <si>
    <t xml:space="preserve">STRUCTURE FINANCIERE </t>
  </si>
  <si>
    <t>Dynamique de l'Equilibre Financier (FR/BFR)</t>
  </si>
  <si>
    <t>LIQUIDITE ET SOLVABILITE</t>
  </si>
  <si>
    <t>PERFORMANCE DE L'ACTIVITE ET RENTABILITE</t>
  </si>
  <si>
    <t>Rentabilité économique ( REX/ACTIF)</t>
  </si>
  <si>
    <t>OUTILS D'AJUSTEMENT</t>
  </si>
  <si>
    <t>QUALITE DE L'INFORMATION FINANCIERE</t>
  </si>
  <si>
    <t>Note pondérée</t>
  </si>
  <si>
    <t>Très bonne</t>
  </si>
  <si>
    <t>Bonne</t>
  </si>
  <si>
    <t>Moyenne</t>
  </si>
  <si>
    <t>Faible</t>
  </si>
  <si>
    <t>Plutôt</t>
  </si>
  <si>
    <t>En baisse</t>
  </si>
  <si>
    <t>En forte</t>
  </si>
  <si>
    <t>Secteur en difficulté</t>
  </si>
  <si>
    <t>en stagnation</t>
  </si>
  <si>
    <t>en baisse</t>
  </si>
  <si>
    <t>sensible</t>
  </si>
  <si>
    <t>baisse</t>
  </si>
  <si>
    <t xml:space="preserve">ou  en déclin </t>
  </si>
  <si>
    <t>Non</t>
  </si>
  <si>
    <t>Non ou très peu</t>
  </si>
  <si>
    <t>Peu</t>
  </si>
  <si>
    <t>Légèrement</t>
  </si>
  <si>
    <t>Modérément</t>
  </si>
  <si>
    <t>Fortement</t>
  </si>
  <si>
    <t>Très fortement</t>
  </si>
  <si>
    <t>Très bien</t>
  </si>
  <si>
    <t>Plutôt bien</t>
  </si>
  <si>
    <t xml:space="preserve">Assez bien </t>
  </si>
  <si>
    <t xml:space="preserve">Moyennement </t>
  </si>
  <si>
    <t>Moyennement</t>
  </si>
  <si>
    <t xml:space="preserve">Plutôt mal positionné </t>
  </si>
  <si>
    <t>Mal positionné</t>
  </si>
  <si>
    <t>Renouvellement</t>
  </si>
  <si>
    <t xml:space="preserve">Obsolescence </t>
  </si>
  <si>
    <t>positionné</t>
  </si>
  <si>
    <t>et/ou étroit</t>
  </si>
  <si>
    <t>et/ou très étroit</t>
  </si>
  <si>
    <t>non assuré</t>
  </si>
  <si>
    <t>marquée</t>
  </si>
  <si>
    <t>Très</t>
  </si>
  <si>
    <t>Modérée</t>
  </si>
  <si>
    <t>Assez</t>
  </si>
  <si>
    <t>Sensible</t>
  </si>
  <si>
    <t>Forte</t>
  </si>
  <si>
    <t>Extrêmement</t>
  </si>
  <si>
    <t>modérée</t>
  </si>
  <si>
    <t>forte</t>
  </si>
  <si>
    <t>Très élevées</t>
  </si>
  <si>
    <t>Elevées</t>
  </si>
  <si>
    <t>Assez élevées</t>
  </si>
  <si>
    <t>Plutôt faibles</t>
  </si>
  <si>
    <t>Faibles</t>
  </si>
  <si>
    <t>Très faibles</t>
  </si>
  <si>
    <t>Inexistantes</t>
  </si>
  <si>
    <t>Limitée</t>
  </si>
  <si>
    <t>Plutôt faible</t>
  </si>
  <si>
    <t>Très faible</t>
  </si>
  <si>
    <t>Extrêmement faible</t>
  </si>
  <si>
    <t>Importants</t>
  </si>
  <si>
    <t>Suffisants</t>
  </si>
  <si>
    <t>Insuffisants</t>
  </si>
  <si>
    <t>Très insuffisants</t>
  </si>
  <si>
    <t>bien adaptés</t>
  </si>
  <si>
    <t>adaptés</t>
  </si>
  <si>
    <t xml:space="preserve"> importants</t>
  </si>
  <si>
    <t>Moyennes</t>
  </si>
  <si>
    <t>Limitées</t>
  </si>
  <si>
    <t>dans l'ensemble</t>
  </si>
  <si>
    <t>fiables</t>
  </si>
  <si>
    <t>ou non communiquées</t>
  </si>
  <si>
    <t>Très mauvaise</t>
  </si>
  <si>
    <t>Se pose à M.T.</t>
  </si>
  <si>
    <t>Se pose à C.T.</t>
  </si>
  <si>
    <t>Problème aigu</t>
  </si>
  <si>
    <t>relève non prévue</t>
  </si>
  <si>
    <t>relève non assurée</t>
  </si>
  <si>
    <t>de succession</t>
  </si>
  <si>
    <t>Excellente</t>
  </si>
  <si>
    <t>Assez bonne</t>
  </si>
  <si>
    <t>Très facile</t>
  </si>
  <si>
    <t>Facile</t>
  </si>
  <si>
    <t>Facile en</t>
  </si>
  <si>
    <t>Très peu</t>
  </si>
  <si>
    <t>en permanence</t>
  </si>
  <si>
    <t>conjoncture normale</t>
  </si>
  <si>
    <t>envisageable</t>
  </si>
  <si>
    <t>possible</t>
  </si>
  <si>
    <t>probable</t>
  </si>
  <si>
    <t>Oui, rapidement</t>
  </si>
  <si>
    <t>Oui, assez rapidement</t>
  </si>
  <si>
    <t>Oui, sous délai</t>
  </si>
  <si>
    <t>et importants</t>
  </si>
  <si>
    <t>et assez importants</t>
  </si>
  <si>
    <t>AAA à AA-</t>
  </si>
  <si>
    <t>A+ à A-</t>
  </si>
  <si>
    <t>BBB+ et BBB</t>
  </si>
  <si>
    <t>BBB-</t>
  </si>
  <si>
    <t>BB+</t>
  </si>
  <si>
    <t>BB</t>
  </si>
  <si>
    <t>BB-</t>
  </si>
  <si>
    <t>B+</t>
  </si>
  <si>
    <t>B et B-</t>
  </si>
  <si>
    <t>très bonne</t>
  </si>
  <si>
    <t>bonne</t>
  </si>
  <si>
    <t>moyenne</t>
  </si>
  <si>
    <t>faible</t>
  </si>
  <si>
    <t>plutôt en stagnation</t>
  </si>
  <si>
    <t>plutôt en baisse</t>
  </si>
  <si>
    <t>en baisse sensible</t>
  </si>
  <si>
    <t>secteur en difficulté ou en déclin</t>
  </si>
  <si>
    <t>NOTE PONDEREE</t>
  </si>
  <si>
    <t>non</t>
  </si>
  <si>
    <t>peu</t>
  </si>
  <si>
    <t>légèrement</t>
  </si>
  <si>
    <t>extremement bien positionné</t>
  </si>
  <si>
    <t>très bien positionné</t>
  </si>
  <si>
    <t>plutot bien positionné</t>
  </si>
  <si>
    <t>assez bien positionné</t>
  </si>
  <si>
    <t>plutôt mal positionné et/ou étroit</t>
  </si>
  <si>
    <t>renouvellement non assuré</t>
  </si>
  <si>
    <t>mal positionné et/ou  très étroit</t>
  </si>
  <si>
    <t>obsolescence marquée</t>
  </si>
  <si>
    <t>très modérée</t>
  </si>
  <si>
    <t>plutôt faible</t>
  </si>
  <si>
    <t>assez sensible</t>
  </si>
  <si>
    <t>assez forte</t>
  </si>
  <si>
    <t>extremement forte</t>
  </si>
  <si>
    <t>assez élevées</t>
  </si>
  <si>
    <t>faibles</t>
  </si>
  <si>
    <t>moyenne à moyen terme</t>
  </si>
  <si>
    <t>limitée à moyen terme</t>
  </si>
  <si>
    <t>très faible</t>
  </si>
  <si>
    <t>extrement faible</t>
  </si>
  <si>
    <t>mauvaise</t>
  </si>
  <si>
    <t>très mauvaise</t>
  </si>
  <si>
    <t>problème aigue de succession</t>
  </si>
  <si>
    <t>très fiables dans l'ensemble</t>
  </si>
  <si>
    <t>moyennement fiables</t>
  </si>
  <si>
    <t>pas toufours fiables</t>
  </si>
  <si>
    <t>peu fiables</t>
  </si>
  <si>
    <t>peu ou pas fiables ou non communiquées</t>
  </si>
  <si>
    <t>excellente</t>
  </si>
  <si>
    <t>assez bonne</t>
  </si>
  <si>
    <t>limité</t>
  </si>
  <si>
    <t>très limitée</t>
  </si>
  <si>
    <t>inexistente</t>
  </si>
  <si>
    <t>importants,bien adaptés</t>
  </si>
  <si>
    <t>importants,adaptés</t>
  </si>
  <si>
    <t>assez importants</t>
  </si>
  <si>
    <t>suffisants</t>
  </si>
  <si>
    <t>plutôt faibles</t>
  </si>
  <si>
    <t>Qualité du profil du drigeant</t>
  </si>
  <si>
    <t>modérement B</t>
  </si>
  <si>
    <t>modérement A</t>
  </si>
  <si>
    <t>fortement B</t>
  </si>
  <si>
    <t>fortement A</t>
  </si>
  <si>
    <t>très fortement B</t>
  </si>
  <si>
    <t>très fortement A</t>
  </si>
  <si>
    <t>très bonne A</t>
  </si>
  <si>
    <t>très bonne B</t>
  </si>
  <si>
    <t>en forte baisse</t>
  </si>
  <si>
    <t>moyennement positionné A</t>
  </si>
  <si>
    <t>moyennement positionné B</t>
  </si>
  <si>
    <t xml:space="preserve"> non ou très peu </t>
  </si>
  <si>
    <t>très forte</t>
  </si>
  <si>
    <t>plutot sensible</t>
  </si>
  <si>
    <t xml:space="preserve"> élevées</t>
  </si>
  <si>
    <t xml:space="preserve"> plutôt faibles</t>
  </si>
  <si>
    <t xml:space="preserve"> faibles </t>
  </si>
  <si>
    <t>très faibles A</t>
  </si>
  <si>
    <t>très faibles B</t>
  </si>
  <si>
    <t>inexistentes A</t>
  </si>
  <si>
    <t>inexistentes B</t>
  </si>
  <si>
    <t>très élevéés A</t>
  </si>
  <si>
    <t xml:space="preserve"> très élevées B</t>
  </si>
  <si>
    <t>plutot faible</t>
  </si>
  <si>
    <t>note pondérée</t>
  </si>
  <si>
    <t xml:space="preserve"> très bonne B</t>
  </si>
  <si>
    <t>bonne A</t>
  </si>
  <si>
    <t>bonne B</t>
  </si>
  <si>
    <t>Qualité du profil du dirigeant</t>
  </si>
  <si>
    <t>limitée</t>
  </si>
  <si>
    <t>très mauvaise A</t>
  </si>
  <si>
    <t>très mauvaise B</t>
  </si>
  <si>
    <t>plutôt moyenne</t>
  </si>
  <si>
    <t>Qualité des moyens humains et techniques</t>
  </si>
  <si>
    <t>très fiable</t>
  </si>
  <si>
    <t>fiable</t>
  </si>
  <si>
    <t>plutôt fiable A</t>
  </si>
  <si>
    <t>plutôt fiable B</t>
  </si>
  <si>
    <t>moyennement fiable</t>
  </si>
  <si>
    <t>pas toujours fiable</t>
  </si>
  <si>
    <t>peu fiable</t>
  </si>
  <si>
    <t>peu ou pas fiable</t>
  </si>
  <si>
    <t>pas fiable A</t>
  </si>
  <si>
    <t>pas fiable B</t>
  </si>
  <si>
    <t>très facile en permanence</t>
  </si>
  <si>
    <t>limité en conjocture normale A</t>
  </si>
  <si>
    <t>limité en conjocture normale B</t>
  </si>
  <si>
    <t>facile en conjoncture normale A</t>
  </si>
  <si>
    <t>facile en conjoncture normale B</t>
  </si>
  <si>
    <t>incertain mais envisageable</t>
  </si>
  <si>
    <t>difficile mais possible</t>
  </si>
  <si>
    <t>très peu probable</t>
  </si>
  <si>
    <t>non pas d'appui A</t>
  </si>
  <si>
    <t>non pas d'appui B</t>
  </si>
  <si>
    <t>oui, rapidement et importants</t>
  </si>
  <si>
    <t>oui, assez rapidement et assez  importants</t>
  </si>
  <si>
    <t>oui, sans delai A</t>
  </si>
  <si>
    <t>oui, sans delai B</t>
  </si>
  <si>
    <t>très insuffisants A</t>
  </si>
  <si>
    <t>très insuffisants B</t>
  </si>
  <si>
    <t>insuffisants A</t>
  </si>
  <si>
    <t>insuffisants B</t>
  </si>
  <si>
    <t>pas fiables A</t>
  </si>
  <si>
    <t>pas fiables B</t>
  </si>
  <si>
    <t>plutôt fiables A</t>
  </si>
  <si>
    <t>plutôt fiables B</t>
  </si>
  <si>
    <t>O,09</t>
  </si>
  <si>
    <t>O,08</t>
  </si>
  <si>
    <t>O,24</t>
  </si>
  <si>
    <t>ACTIF</t>
  </si>
  <si>
    <t>AD</t>
  </si>
  <si>
    <t>AE</t>
  </si>
  <si>
    <t>AF</t>
  </si>
  <si>
    <t>AG</t>
  </si>
  <si>
    <t>AH</t>
  </si>
  <si>
    <t>AI</t>
  </si>
  <si>
    <t>AJ</t>
  </si>
  <si>
    <t>AK</t>
  </si>
  <si>
    <t>AL</t>
  </si>
  <si>
    <t>AM</t>
  </si>
  <si>
    <t>AN</t>
  </si>
  <si>
    <t>AP</t>
  </si>
  <si>
    <t>AQ</t>
  </si>
  <si>
    <t>AR</t>
  </si>
  <si>
    <t>AS</t>
  </si>
  <si>
    <t>AZ</t>
  </si>
  <si>
    <t>BA</t>
  </si>
  <si>
    <t>BG</t>
  </si>
  <si>
    <t>BH</t>
  </si>
  <si>
    <t>BI</t>
  </si>
  <si>
    <t>Clients</t>
  </si>
  <si>
    <t>BJ</t>
  </si>
  <si>
    <t>BK</t>
  </si>
  <si>
    <t>BQ</t>
  </si>
  <si>
    <t>BR</t>
  </si>
  <si>
    <t>BS</t>
  </si>
  <si>
    <t>BT</t>
  </si>
  <si>
    <t>BU</t>
  </si>
  <si>
    <t>BZ</t>
  </si>
  <si>
    <t>PASSIF</t>
  </si>
  <si>
    <t>CA</t>
  </si>
  <si>
    <t>Capital</t>
  </si>
  <si>
    <t>CB</t>
  </si>
  <si>
    <t>CD</t>
  </si>
  <si>
    <t>CE</t>
  </si>
  <si>
    <t>CF</t>
  </si>
  <si>
    <t>CG</t>
  </si>
  <si>
    <t>CH</t>
  </si>
  <si>
    <t>CL</t>
  </si>
  <si>
    <t>CM</t>
  </si>
  <si>
    <t>CP</t>
  </si>
  <si>
    <t>DA</t>
  </si>
  <si>
    <t>DB</t>
  </si>
  <si>
    <t>DC</t>
  </si>
  <si>
    <t>DD</t>
  </si>
  <si>
    <t>DF</t>
  </si>
  <si>
    <t>DH</t>
  </si>
  <si>
    <t>DI</t>
  </si>
  <si>
    <t>DJ</t>
  </si>
  <si>
    <t>DK</t>
  </si>
  <si>
    <t>DM</t>
  </si>
  <si>
    <t>DN</t>
  </si>
  <si>
    <t>DP</t>
  </si>
  <si>
    <t>DQ</t>
  </si>
  <si>
    <t>DR</t>
  </si>
  <si>
    <t>DT</t>
  </si>
  <si>
    <t>DZ</t>
  </si>
  <si>
    <t>RA</t>
  </si>
  <si>
    <t>RB</t>
  </si>
  <si>
    <t>RC</t>
  </si>
  <si>
    <t>RD</t>
  </si>
  <si>
    <t>RE</t>
  </si>
  <si>
    <t>RH</t>
  </si>
  <si>
    <t>RI</t>
  </si>
  <si>
    <t>Transports</t>
  </si>
  <si>
    <t>RJ</t>
  </si>
  <si>
    <t>RK</t>
  </si>
  <si>
    <t>RL</t>
  </si>
  <si>
    <t>RP</t>
  </si>
  <si>
    <t>RQ</t>
  </si>
  <si>
    <t>RS</t>
  </si>
  <si>
    <t>TA</t>
  </si>
  <si>
    <t>TB</t>
  </si>
  <si>
    <t>TC</t>
  </si>
  <si>
    <t>TD</t>
  </si>
  <si>
    <t>TE</t>
  </si>
  <si>
    <t>TF</t>
  </si>
  <si>
    <t>TG</t>
  </si>
  <si>
    <t>TH</t>
  </si>
  <si>
    <t>TI</t>
  </si>
  <si>
    <t>TJ</t>
  </si>
  <si>
    <t>TK</t>
  </si>
  <si>
    <t>TL</t>
  </si>
  <si>
    <t>TN</t>
  </si>
  <si>
    <t>-</t>
  </si>
  <si>
    <t>+</t>
  </si>
  <si>
    <t>COTATION  INTERNATIONALE  EQUIVALENTE</t>
  </si>
  <si>
    <t xml:space="preserve">Pas d'appui </t>
  </si>
  <si>
    <t>Difficile mais</t>
  </si>
  <si>
    <t>Incertain mais</t>
  </si>
  <si>
    <t xml:space="preserve">Limité </t>
  </si>
  <si>
    <t>Pas fiable</t>
  </si>
  <si>
    <t>Peu ou pas fiable</t>
  </si>
  <si>
    <t>Peu fiable</t>
  </si>
  <si>
    <t>Pas toujours fiable</t>
  </si>
  <si>
    <t>Moyennement fiable</t>
  </si>
  <si>
    <t>Plutôt fiable</t>
  </si>
  <si>
    <t>Fiable</t>
  </si>
  <si>
    <t>Très fiable</t>
  </si>
  <si>
    <t>(&gt;180 )</t>
  </si>
  <si>
    <t>]160 ; 180 ]</t>
  </si>
  <si>
    <t>]140 ; 160 ]</t>
  </si>
  <si>
    <t>]120 ; 140 ]</t>
  </si>
  <si>
    <t>]100 ; 120 ]</t>
  </si>
  <si>
    <t>]80 ; 100 ]</t>
  </si>
  <si>
    <t>]60 ; 80 ]</t>
  </si>
  <si>
    <t>]40 ; 60 ]</t>
  </si>
  <si>
    <t>[20 ; 40 ]</t>
  </si>
  <si>
    <t>(&lt; 20)</t>
  </si>
  <si>
    <t>&lt; 90 jours</t>
  </si>
  <si>
    <t>(&lt; 10)</t>
  </si>
  <si>
    <t>]20 ; 10 ]</t>
  </si>
  <si>
    <t>]30 ; 20 ]</t>
  </si>
  <si>
    <t>]40 ; 30 ]</t>
  </si>
  <si>
    <t>]50 ; 40 ]</t>
  </si>
  <si>
    <t>]60 ; 50 ]</t>
  </si>
  <si>
    <t>]70 ; 60 ]</t>
  </si>
  <si>
    <t>]80 ; 70 ]</t>
  </si>
  <si>
    <t>[90 ; 80 ]</t>
  </si>
  <si>
    <t>( &gt;90 )</t>
  </si>
  <si>
    <t>&gt; 90 jours</t>
  </si>
  <si>
    <t>]80 ; 90 ]</t>
  </si>
  <si>
    <t>]70 ; 80 ]</t>
  </si>
  <si>
    <t>]60 ; 700 ]</t>
  </si>
  <si>
    <t>]50 ; 60 ]</t>
  </si>
  <si>
    <t>]40 ; 50 ]</t>
  </si>
  <si>
    <t>]30 ; 40]</t>
  </si>
  <si>
    <t>]20 ; 30 ]</t>
  </si>
  <si>
    <t>[10 ; 20 ]</t>
  </si>
  <si>
    <t>&lt; 90 Jours</t>
  </si>
  <si>
    <t>(&gt; 1)</t>
  </si>
  <si>
    <t>(&lt; 0,2)</t>
  </si>
  <si>
    <t>]0,5 ; 0,2 ]</t>
  </si>
  <si>
    <t>]0,8 ; 0,5 ]</t>
  </si>
  <si>
    <t>]1 ; 0,8 ]</t>
  </si>
  <si>
    <t>]1,2 ; 1 ]</t>
  </si>
  <si>
    <t>]1,4 ; 1,2 ]</t>
  </si>
  <si>
    <t>]1,6 ; 1,4 ]</t>
  </si>
  <si>
    <t>]1,8 ; 1,6 ]</t>
  </si>
  <si>
    <t>]2 ; 1,8 ]</t>
  </si>
  <si>
    <t>( &gt; 2)</t>
  </si>
  <si>
    <t>(&gt; 5)</t>
  </si>
  <si>
    <t>]4,4 ; 5 ]</t>
  </si>
  <si>
    <t>]4 ; 4,4 ]</t>
  </si>
  <si>
    <t>]3,8 ; 4 ]</t>
  </si>
  <si>
    <t>]3,4 ; 3,8 ]</t>
  </si>
  <si>
    <t>]2 ; 3 ]</t>
  </si>
  <si>
    <t>]1,5 ; 2]</t>
  </si>
  <si>
    <t>]1; 1,5 ]</t>
  </si>
  <si>
    <t>(&lt; 1)</t>
  </si>
  <si>
    <t>&lt; 3</t>
  </si>
  <si>
    <t>]0,8 ; 1 ]</t>
  </si>
  <si>
    <t>]0,45 ; 0,49 ]</t>
  </si>
  <si>
    <t>]0,4 ; 0,45 ]</t>
  </si>
  <si>
    <t>]0,1;0,2[</t>
  </si>
  <si>
    <t>(&lt; 0,1)</t>
  </si>
  <si>
    <t>&lt; 1</t>
  </si>
  <si>
    <t>]1,2 ; 1]</t>
  </si>
  <si>
    <t>]2 ; 1,8]</t>
  </si>
  <si>
    <t>(&gt; 2)</t>
  </si>
  <si>
    <t>&gt; 1</t>
  </si>
  <si>
    <t>REFERENCE</t>
  </si>
  <si>
    <t>Très limitée</t>
  </si>
  <si>
    <t>Important</t>
  </si>
  <si>
    <t>Plutôt moyenne</t>
  </si>
  <si>
    <t>Qualité desMoyens humains et techniques</t>
  </si>
  <si>
    <t xml:space="preserve">Qualite du profil du dirigeant  </t>
  </si>
  <si>
    <t>Exremement bien</t>
  </si>
  <si>
    <t>Appréciation de la stratégie en terme de clarté et de pérénnité de l'entreprise, de cohérence entre  qualité des investisssements, corps de metiers identifiés, perspectives de marché et action des concurrents.</t>
  </si>
  <si>
    <t>FINANCES</t>
  </si>
  <si>
    <t>Rentabilité d'exploitation par rapport au CA (EBE/ CA)&gt;30%</t>
  </si>
  <si>
    <t>Taille du marché et Positionnement de l'entreprise sur le marché</t>
  </si>
  <si>
    <t xml:space="preserve">                           TYPE DE MARCHE (1)
position sur 
le marché</t>
  </si>
  <si>
    <t>Mondial ou géographiquement très diversifié  (2)</t>
  </si>
  <si>
    <t>REGIONALE OU  Zone géographique diversifiée (3)</t>
  </si>
  <si>
    <t xml:space="preserve">Local / PAYS
</t>
  </si>
  <si>
    <t>Significatif</t>
  </si>
  <si>
    <t>1 à 2</t>
  </si>
  <si>
    <t>3  à 4</t>
  </si>
  <si>
    <t>4 à 5</t>
  </si>
  <si>
    <t>Faible (5)</t>
  </si>
  <si>
    <t>3 à 4</t>
  </si>
  <si>
    <t>4  à 7</t>
  </si>
  <si>
    <t xml:space="preserve"> 8 à 10</t>
  </si>
  <si>
    <t>] 3 ; 4]</t>
  </si>
  <si>
    <t>] 4 ; 5]</t>
  </si>
  <si>
    <t>]5 ; 6]</t>
  </si>
  <si>
    <t>]6 ; 7]</t>
  </si>
  <si>
    <t>]7 ; 8]</t>
  </si>
  <si>
    <t>CCC à C</t>
  </si>
  <si>
    <t>CRITERES PRINCIPAUX</t>
  </si>
  <si>
    <t>SOUS-CRITERES</t>
  </si>
  <si>
    <t>VALEUR PAR SOUS-CRITERE</t>
  </si>
  <si>
    <t>NOTE PAR SOUS-CRITERE</t>
  </si>
  <si>
    <t>Taux Pondération</t>
  </si>
  <si>
    <t>GESTION &amp; STRATEGIE</t>
  </si>
  <si>
    <t>QUALITE INFORMATIONS</t>
  </si>
  <si>
    <t>NOTE PAR SOUS-CRITERES</t>
  </si>
  <si>
    <t>Qualité du système de contrôle interne</t>
  </si>
  <si>
    <t>Qualité de l'organisation</t>
  </si>
  <si>
    <t>Définitions générales</t>
  </si>
  <si>
    <t>NOTE PONDEREE CRITERE</t>
  </si>
  <si>
    <t>NOTE PONDEREE FINALE / CRITERE</t>
  </si>
  <si>
    <t>NOTATION PME</t>
  </si>
  <si>
    <t>N° SOUS-CRITERES</t>
  </si>
  <si>
    <t>Positionnement concurentiel sur le marché</t>
  </si>
  <si>
    <t>NOTES MOYENNES DES CRITERES ET SOUS-CRITERES</t>
  </si>
  <si>
    <t>INTERVALLES DES NOTES MOYENNES DES CRITERES ET SOUS-CRITERES</t>
  </si>
  <si>
    <t>COTATION  ELESYST  EQUIVALANT A LA NOTATION DES PME</t>
  </si>
  <si>
    <t>Valeur par sous-critère</t>
  </si>
  <si>
    <t>Note par sous-critère</t>
  </si>
  <si>
    <t>Positionnement concurrentiel sur le marché</t>
  </si>
  <si>
    <t>Tendance structurelle du marché</t>
  </si>
  <si>
    <t>Portefeuille produits</t>
  </si>
  <si>
    <t>Barrieres à l'entree</t>
  </si>
  <si>
    <t>Succession du dirigeant</t>
  </si>
  <si>
    <t>Qualité de la stratégie commerciale et marking</t>
  </si>
  <si>
    <t>Fiabilité des prévisions/Evolution produits &amp; charges</t>
  </si>
  <si>
    <t>Implication du dirigeant/transparence transactions</t>
  </si>
  <si>
    <t>Actifs cessibles &amp; Surface financière du dirigeant</t>
  </si>
  <si>
    <t>Fiabilité des prévisions / Evolution produits &amp; charges</t>
  </si>
  <si>
    <t>COMMENTAIRES</t>
  </si>
  <si>
    <t>Très cohérents</t>
  </si>
  <si>
    <t>Cohérents</t>
  </si>
  <si>
    <t>cohérents</t>
  </si>
  <si>
    <t xml:space="preserve">Pas toujours </t>
  </si>
  <si>
    <t>Peu cohérents</t>
  </si>
  <si>
    <t>Peu ou pas cohérents</t>
  </si>
  <si>
    <t>Pas cohérents</t>
  </si>
  <si>
    <t>élevées</t>
  </si>
  <si>
    <t>très cohérents</t>
  </si>
  <si>
    <t xml:space="preserve"> cohérents</t>
  </si>
  <si>
    <t>plutôt  cohérents A</t>
  </si>
  <si>
    <t>plutôt  cohérents B</t>
  </si>
  <si>
    <t>moyennement  cohérents</t>
  </si>
  <si>
    <t>pas toujours  cohérents</t>
  </si>
  <si>
    <t>peu  cohérents</t>
  </si>
  <si>
    <t>peu ou pas  cohérents</t>
  </si>
  <si>
    <t>pas  cohérents A</t>
  </si>
  <si>
    <t>pas  cohérents B</t>
  </si>
  <si>
    <t>plutôt cohérents A</t>
  </si>
  <si>
    <t>plutôt cohérents B</t>
  </si>
  <si>
    <t>moyennement cohérents</t>
  </si>
  <si>
    <t>pas toujours cohérents</t>
  </si>
  <si>
    <t>peu cohérents</t>
  </si>
  <si>
    <t>peu ou pas cohérents</t>
  </si>
  <si>
    <t>pas cohérents A</t>
  </si>
  <si>
    <t>pas cohérents B</t>
  </si>
  <si>
    <t>Rentabilité d'exploitation par rapport au CA (EBE/ CA)</t>
  </si>
  <si>
    <t xml:space="preserve">Nom de la société:                                                         Secteur d'activité:                                               Nom du Dirigeant: </t>
  </si>
  <si>
    <t xml:space="preserve">Effectif employés:                                                        Année de création:                                                                          </t>
  </si>
  <si>
    <t>Tenir compte des changements possible de la réglementation, de la qualité de l'environnement du pays dans  lequel l'entreprise opère (viabilité du système législatif, qualité du système politique, environnement social)</t>
  </si>
  <si>
    <t>Permet d'apprécier le pouvoir de négociation de l'entreprise sur les marchés, les parts de marchés acquises, et sa capacité à innover.</t>
  </si>
  <si>
    <t>Les marchés cycliques sont caractérisés par des périodes de croissance suivies de repli plus ou moins prononcées et plus ou moins rapprochées. Les marchés à prix volatils sont ceux liés aux matières premières dont les prix sont sujets à de fortes variations.</t>
  </si>
  <si>
    <t>Renvoie à l’évolution du marché sur lequel l’entreprise se situe (croissance, stagnation, déclin) et de ce fait sa capacité à développer son activité.</t>
  </si>
  <si>
    <t>Ce critère permet de porter un jugement sur la capacité de l’entreprise à diversifier et adapter son offre de produits  sur le marché. Il s'agit d'évaluer son niveau de maitrise de sa politique de gestion du cycle de vie de ses produits (Matrice BCG).</t>
  </si>
  <si>
    <t xml:space="preserve">Appreciation du risque lié à la pression de la clientèle directe de l'entreprise (client représentant 10% de son CA) : diversifiée ou concentrée, fidélisée ou non récurrente, rapport de force de bonne ou mauvaise qualité. </t>
  </si>
  <si>
    <t>Ensemble des inerties qui peuvent constituer un frein à la création ou à l'exercice de l'activité de l'entreprises.</t>
  </si>
  <si>
    <t>Fiabilité des prévisions / Evolution des produits &amp; charges</t>
  </si>
  <si>
    <t>La maîtrise des processus métiers et administratifs de l'entité doit être matérialisée à travers les procédures et les textes organiques couvrant tous les pans fonctionnels. Au-delà de l'existence de ces textes, il est important de vérifier qu'ils sont connus et mis en application par les principaux responsables et l'ensemble du personnel.</t>
  </si>
  <si>
    <t>Il s'agit d'apprecier l'organisation des ressources qui permettent de collecter, stocker, traiter et distribuer les informations nécessaires à une prise de décisions , le suivi et le contrôle des activité de l'entreprise.</t>
  </si>
  <si>
    <t>Ce critère permet d'évaluer les actions menées par l'entreprise afin de d'accroître ses parts de marché et donc par conséquent developper son portefeuille client.</t>
  </si>
  <si>
    <t>Appreciation du climat social, de la politique de gestion des ressources humaine, du niveau de turn-over du personnel. Des entretiens avec toutes les catégories du personnel sont indispensables pour cerner la qualité du climat.</t>
  </si>
  <si>
    <t>Il s'agit d'évaluer dans quelle mesure le risque lié aux droits de succession est encadré au sein de l'entreprise, ce qui permet d'assurer la pérénité de son patrimoine.</t>
  </si>
  <si>
    <t>Dynamique de l'équilibre financier                        (FR / BFR &gt;= 1)</t>
  </si>
  <si>
    <t>Appréciation de la fréquence de communication des prévisions par les dirigeants et évaluation du taux de réalisation de ces prévisions / Appréciation de l'évolution des produits et charges par rapport aux prévisions et àla conjoncture.</t>
  </si>
  <si>
    <t>importants, adap^tés</t>
  </si>
  <si>
    <t>SME1</t>
  </si>
  <si>
    <t>SME2</t>
  </si>
  <si>
    <t>SME3</t>
  </si>
  <si>
    <t>SME4</t>
  </si>
  <si>
    <t>SME5</t>
  </si>
  <si>
    <t>SME6</t>
  </si>
  <si>
    <t>SME7+</t>
  </si>
  <si>
    <t>SME7</t>
  </si>
  <si>
    <t>SME8</t>
  </si>
  <si>
    <t>SME8-</t>
  </si>
  <si>
    <t>L’expérience des promoteurs dans les affaires (dans un secteur d’activité représentatif) et l’historique des opérations de l’entité étudiée constituent des critères essentiels pour évaluer la compétence managériale. Un manager doté d’une expérience de plusieurs cycles d’activités et familiarisé à la mise en œuvre des projets, bénéficie d’un avantage certain. De même, l’expérience dans la conquête de la clientèle, les nouvelles initiatives commerciales et le niveau de priorité accordé à la fonction financière sont également des critères vitaux. Un poids conséquent doit être accordé à l’historique du promoteur dans la réalisation des projets et le statut desdits projets, incluant la réussite du montage financier. Enfin le profil moral des dirigeants doit être systématiquement questionné en intégrant des critères socio-anthropologiques liés aux différents réseaux sociaux et professionnels avec lesquels ils interagissent.</t>
  </si>
  <si>
    <t>TABLEAU DE FLUX DE TRESORERIE</t>
  </si>
  <si>
    <t>REF</t>
  </si>
  <si>
    <t>ZA</t>
  </si>
  <si>
    <t>Flux de trésorerie provenant des activités opérationnelles</t>
  </si>
  <si>
    <t>FA</t>
  </si>
  <si>
    <t>Capacité d'Autofinancement Globale (CAFG)</t>
  </si>
  <si>
    <t>A</t>
  </si>
  <si>
    <t>EXERCICE N</t>
  </si>
  <si>
    <t>FB</t>
  </si>
  <si>
    <t>FE</t>
  </si>
  <si>
    <t>FD</t>
  </si>
  <si>
    <t>FC</t>
  </si>
  <si>
    <t>Variation du BF lié aux activités opérationnelles (FB + FC + FD + FE)</t>
  </si>
  <si>
    <t>Flux de trésorerie provenant des activités opérationnelles (somme FA à FE)</t>
  </si>
  <si>
    <t>B</t>
  </si>
  <si>
    <t>ZE</t>
  </si>
  <si>
    <t>Flux de trésorerie provenant des activités d'investissement</t>
  </si>
  <si>
    <t>FF</t>
  </si>
  <si>
    <t>FG</t>
  </si>
  <si>
    <t>FH</t>
  </si>
  <si>
    <t>FI</t>
  </si>
  <si>
    <t>FJ</t>
  </si>
  <si>
    <t>Flux de trésorerie provenant des activités d'investissement (somme FF à FJ)</t>
  </si>
  <si>
    <t>C</t>
  </si>
  <si>
    <t>Flux de trésorerie provenant du financement des capitaux propres</t>
  </si>
  <si>
    <t>FK</t>
  </si>
  <si>
    <t>FL</t>
  </si>
  <si>
    <t>- Prélèvements sur le capital</t>
  </si>
  <si>
    <t>FM</t>
  </si>
  <si>
    <t>FN</t>
  </si>
  <si>
    <t>ZD</t>
  </si>
  <si>
    <t>Flux de trésorerie provenant des capitaux propres (somme FK à FN)</t>
  </si>
  <si>
    <t>D</t>
  </si>
  <si>
    <t>Flux de trésorerie provenant du financement des capitaux étrangers</t>
  </si>
  <si>
    <t>FO</t>
  </si>
  <si>
    <t>+ Autres dettes financières</t>
  </si>
  <si>
    <t>FP</t>
  </si>
  <si>
    <t>FQ</t>
  </si>
  <si>
    <t>- Remboursements des emprunts et autres dettes financières</t>
  </si>
  <si>
    <t>Flux de trésorerie provenant des capitaux étrangers (somme FO à FQ)</t>
  </si>
  <si>
    <t>Flux de trésorerie provenant des activités de financement (D + E)</t>
  </si>
  <si>
    <t>ZF</t>
  </si>
  <si>
    <t>E</t>
  </si>
  <si>
    <t>F</t>
  </si>
  <si>
    <t>VARIATION DE LA TRESORERIE NETTE DE LA PERIODE (B + C + F)</t>
  </si>
  <si>
    <t>Trésorerie nette au 31 décembre (G + A) (1)</t>
  </si>
  <si>
    <t>ZG</t>
  </si>
  <si>
    <t>ZH</t>
  </si>
  <si>
    <t>G</t>
  </si>
  <si>
    <t>H</t>
  </si>
  <si>
    <t>(1) Contrôle: Trésorerie actif N - Trésorerie passif N =</t>
  </si>
  <si>
    <t>- Décaissements liés aux acquisitions d'immobilisations incorporelles</t>
  </si>
  <si>
    <t>COMPTE DE RESULTAT AU 31 DECEMBRE N</t>
  </si>
  <si>
    <t>LIBELLES</t>
  </si>
  <si>
    <t>Ventes de marchandises</t>
  </si>
  <si>
    <t>MARGE COMMERCIALE (Somme TA &amp; RB)</t>
  </si>
  <si>
    <t>XA</t>
  </si>
  <si>
    <t>Ventes des produits fabriqués</t>
  </si>
  <si>
    <t>Travaux, services vendus</t>
  </si>
  <si>
    <t>Produits accessoires</t>
  </si>
  <si>
    <t>CHIFFRE D'AFFAIRES (A + B + C + D)</t>
  </si>
  <si>
    <t>XB</t>
  </si>
  <si>
    <t>Production stockée (ou déstockage)</t>
  </si>
  <si>
    <t>Produits immobilisées</t>
  </si>
  <si>
    <t>Subventions d'exploitation</t>
  </si>
  <si>
    <t>Autres produits</t>
  </si>
  <si>
    <t>Transferts de charges d'exploitation</t>
  </si>
  <si>
    <t>Achats de matières premières et fournitures liées</t>
  </si>
  <si>
    <t>Variation de stocks de matières premières et fournitures liées</t>
  </si>
  <si>
    <t>Autres achats</t>
  </si>
  <si>
    <t>RF</t>
  </si>
  <si>
    <t>Variation de stocks d'autres approvisionnements</t>
  </si>
  <si>
    <t>RG</t>
  </si>
  <si>
    <t>Services extérieurs</t>
  </si>
  <si>
    <t>Impôts et taxes</t>
  </si>
  <si>
    <t>Autres charges</t>
  </si>
  <si>
    <t>XC</t>
  </si>
  <si>
    <t>VALEUR AJOUTEE (XB + RA + RB) + (Somme TE à RJ)</t>
  </si>
  <si>
    <t>Charge de personnel</t>
  </si>
  <si>
    <t>XD</t>
  </si>
  <si>
    <t>EXCEDENT BRUT D'EXPLOITATION (XC + RK)</t>
  </si>
  <si>
    <t>Reprises d'amortissements, provisions et dépréciations</t>
  </si>
  <si>
    <t>Dotations aux amortissements, aux provisions et dépréciations</t>
  </si>
  <si>
    <t>XE</t>
  </si>
  <si>
    <t>RESULTAT D'EXPLOITATION (XD + TJ + RL)</t>
  </si>
  <si>
    <t>Revenus financiers et assimilés</t>
  </si>
  <si>
    <t>Reprises de provisions et dépréciations financières</t>
  </si>
  <si>
    <t>TM</t>
  </si>
  <si>
    <t>Transferts de charges financières</t>
  </si>
  <si>
    <t>Frais financiers et charges assimilées</t>
  </si>
  <si>
    <t>RM</t>
  </si>
  <si>
    <t>RN</t>
  </si>
  <si>
    <t>Dotations aux provisions et aux dépréciations financières</t>
  </si>
  <si>
    <t>XF</t>
  </si>
  <si>
    <t>RESULTAT FINANCIER (somme TK à RN)</t>
  </si>
  <si>
    <t>XG</t>
  </si>
  <si>
    <t>RESULTAT DES ACTIVITES ORDINAIRES (XE + XF)</t>
  </si>
  <si>
    <t>Produits de cessions d'immobilisations</t>
  </si>
  <si>
    <t>TO</t>
  </si>
  <si>
    <t>Autres produits HAO</t>
  </si>
  <si>
    <t>RO</t>
  </si>
  <si>
    <t>Valeurs comptables des cessions d'immobilisations</t>
  </si>
  <si>
    <t>Autres charges HAO</t>
  </si>
  <si>
    <t>XH</t>
  </si>
  <si>
    <t>RESULTAT HORS ACTIVITES ORDINAIRES (Somme TN à RP)</t>
  </si>
  <si>
    <t>Participation des travailleurs</t>
  </si>
  <si>
    <t>Impôts sur résultat</t>
  </si>
  <si>
    <t>XI</t>
  </si>
  <si>
    <t>RESULTAT NET (XG + XH + RQ + RS)</t>
  </si>
  <si>
    <t>EBE</t>
  </si>
  <si>
    <t>VALEURS SOUS-CRITERES</t>
  </si>
  <si>
    <t>Frais de développement et de prospection</t>
  </si>
  <si>
    <t>Brevets, licences, logiciels, et droits similaires</t>
  </si>
  <si>
    <t>Fonds commercial et droit au bail</t>
  </si>
  <si>
    <t>Autres immobilisations corporelles</t>
  </si>
  <si>
    <t>IMMOBILISATIONS CORPORELLES</t>
  </si>
  <si>
    <r>
      <t xml:space="preserve">Terrains </t>
    </r>
    <r>
      <rPr>
        <i/>
        <sz val="8"/>
        <rFont val="Cambria"/>
        <family val="1"/>
      </rPr>
      <t>(dont le Placement en Net …………/………….)</t>
    </r>
  </si>
  <si>
    <r>
      <t xml:space="preserve">Bâtiments </t>
    </r>
    <r>
      <rPr>
        <i/>
        <sz val="8"/>
        <rFont val="Cambria"/>
        <family val="1"/>
      </rPr>
      <t>(dont le Placement en Net …………/………….)</t>
    </r>
  </si>
  <si>
    <t>Aménagements, agencements et installations</t>
  </si>
  <si>
    <t>Matériel, mobilier, et actifs biologiques</t>
  </si>
  <si>
    <t>Matériel de transport</t>
  </si>
  <si>
    <t>Avances et acomptes versés sur immobilisations</t>
  </si>
  <si>
    <t>Désignation de l'entité:</t>
  </si>
  <si>
    <t>Exercice clos le 31/12/</t>
  </si>
  <si>
    <t>Numéro d'identification:</t>
  </si>
  <si>
    <t>Durée (en mois):</t>
  </si>
  <si>
    <t>BILAN AU 31 DECEMBRE N</t>
  </si>
  <si>
    <t>Note</t>
  </si>
  <si>
    <t>EXERCICE au 31/12/N</t>
  </si>
  <si>
    <t>EXERCICE</t>
  </si>
  <si>
    <t>EXERICE</t>
  </si>
  <si>
    <t>BRUT</t>
  </si>
  <si>
    <t>AMORT.</t>
  </si>
  <si>
    <t>NET</t>
  </si>
  <si>
    <t>AU</t>
  </si>
  <si>
    <t>au</t>
  </si>
  <si>
    <t xml:space="preserve">au </t>
  </si>
  <si>
    <t>et</t>
  </si>
  <si>
    <t>31/12/N-1</t>
  </si>
  <si>
    <t>31/12/N</t>
  </si>
  <si>
    <t>DEPREC.</t>
  </si>
  <si>
    <t>IMMOBILISATIONS INCORPORELLES</t>
  </si>
  <si>
    <t>Apporteurs capital appelé</t>
  </si>
  <si>
    <t>Primes liées sans capital social</t>
  </si>
  <si>
    <t>Ecarts de réévaluation</t>
  </si>
  <si>
    <t>3e</t>
  </si>
  <si>
    <t>Réserves indisponibles</t>
  </si>
  <si>
    <t>Réserves libres</t>
  </si>
  <si>
    <t>Report à nouveau</t>
  </si>
  <si>
    <t>CJ</t>
  </si>
  <si>
    <t>Résultat net de l'exercice (bénéfice + ou perte -)</t>
  </si>
  <si>
    <t>Subventions d'investissement</t>
  </si>
  <si>
    <t>Provisions règlementaires</t>
  </si>
  <si>
    <t>TOTAL CAPITAUX PROPRES ET RESSOURCES ASSIMILEES</t>
  </si>
  <si>
    <t>IMMOBILISATIONS FINANCIERES</t>
  </si>
  <si>
    <t>Emprunts et dettes financières diverses</t>
  </si>
  <si>
    <t>Titres de participation</t>
  </si>
  <si>
    <t>Dettes de location acquisition</t>
  </si>
  <si>
    <t>Autres immobilisations financières</t>
  </si>
  <si>
    <t>Provisions pour risques et charges</t>
  </si>
  <si>
    <t>TOTAL ACTIF IMMOBILISE</t>
  </si>
  <si>
    <t>TOTAL DETTES FINANCIERES ET RESSOURCES ASSIMILEES</t>
  </si>
  <si>
    <t>ACTIF CIRCULANT HAO</t>
  </si>
  <si>
    <t>TOTAL RESSOURCES STABLES</t>
  </si>
  <si>
    <t>STOCKS ET ENCOURS</t>
  </si>
  <si>
    <t>Dettes circulantes HAO</t>
  </si>
  <si>
    <t>CREANCES ET EMPLOIS ASSIMILES</t>
  </si>
  <si>
    <t>Clients, avances reçues</t>
  </si>
  <si>
    <t>Fournisseurs avances versées</t>
  </si>
  <si>
    <t>Fournisseurs d'exploitation</t>
  </si>
  <si>
    <t>Dettes fiscales et sociales</t>
  </si>
  <si>
    <t>Autres créances</t>
  </si>
  <si>
    <t>Autres dettes</t>
  </si>
  <si>
    <t>TOTAL ACTIF CIRCULANT</t>
  </si>
  <si>
    <t>Provisions pour risques à court terme</t>
  </si>
  <si>
    <t>Titres de placement</t>
  </si>
  <si>
    <t>TOTAL PASSIF CIRCULANT</t>
  </si>
  <si>
    <t>Valeurs à encaisser</t>
  </si>
  <si>
    <t>Banques, crédits d'escompte</t>
  </si>
  <si>
    <t>Banques, chèques postaux, caisses et assimilés</t>
  </si>
  <si>
    <t>Banques, établissements financiers et crédits de trésorerie</t>
  </si>
  <si>
    <t>TOTAL TRESORERIE-ACTIF</t>
  </si>
  <si>
    <t>TOTAL TRESORERIE-PASSIF</t>
  </si>
  <si>
    <t>Ecart de conversion-Actif</t>
  </si>
  <si>
    <t>DV</t>
  </si>
  <si>
    <t>Ecart de conversion-Passif</t>
  </si>
  <si>
    <t>TOTAL GENERAL</t>
  </si>
  <si>
    <t>Positionnement concurentiel sur le marché*</t>
  </si>
  <si>
    <t>Très significatif</t>
  </si>
  <si>
    <t>Bon</t>
  </si>
  <si>
    <t>Plutôt Bon</t>
  </si>
  <si>
    <t>Moyen</t>
  </si>
  <si>
    <t>Plutôt Moyen</t>
  </si>
  <si>
    <t>Limité</t>
  </si>
  <si>
    <t>Mauvais</t>
  </si>
  <si>
    <t>Très Mauvais</t>
  </si>
  <si>
    <t>* Répondre en utilisant la grille "Taille du marché et positionnement de l'entreprise sur le marché"  (onglet Marché sous Excel)</t>
  </si>
  <si>
    <t>Note des valeurs du sous-critère PSLM</t>
  </si>
  <si>
    <t>Valeur Sous-critère</t>
  </si>
  <si>
    <t>Commentaires</t>
  </si>
  <si>
    <t>Marché mondial ou géographiquement très diversifié et parts de marché significatives</t>
  </si>
  <si>
    <t>Marché mondial ou géographiquement diversifié et parts de marché importantes</t>
  </si>
  <si>
    <t>Marché  régional ou zone géographique diversifiée et parts de marché significatives</t>
  </si>
  <si>
    <t>Marché  régional ou zone géographique diversifiée et parts de marché faibles</t>
  </si>
  <si>
    <t>Marché local/National et parts de marché significatives</t>
  </si>
  <si>
    <t>Marché local/National et parts de marché importantes</t>
  </si>
  <si>
    <t>Marché local ou zone géographique peu diversifiée et parts de marché moyennes</t>
  </si>
  <si>
    <t>Marché local ou zone géographique peu diversifiée et parts de marché faibles</t>
  </si>
  <si>
    <t>Marché local non diversifié et parts de marché faibles</t>
  </si>
  <si>
    <t>Marché étroit et parts de marché faibles</t>
  </si>
  <si>
    <r>
      <t xml:space="preserve">SAVSME CMR SME1                                                                                                                                 </t>
    </r>
    <r>
      <rPr>
        <sz val="11"/>
        <color theme="1"/>
        <rFont val="Calibri"/>
        <family val="2"/>
        <scheme val="minor"/>
      </rPr>
      <t>Le niveau de solvabilité de la PME, validé en comparaison d'autres PME, est très élevé</t>
    </r>
  </si>
  <si>
    <r>
      <t>SAVSME CMR SME2</t>
    </r>
    <r>
      <rPr>
        <sz val="11"/>
        <color theme="1"/>
        <rFont val="Calibri"/>
        <family val="2"/>
        <scheme val="minor"/>
      </rPr>
      <t xml:space="preserve">                                                                                                                                 Le niveau de solvabilité de la PME, validé en comparaison d'autres PME, est élevé</t>
    </r>
  </si>
  <si>
    <r>
      <t>SAVSME CMR SME3</t>
    </r>
    <r>
      <rPr>
        <sz val="11"/>
        <color theme="1"/>
        <rFont val="Calibri"/>
        <family val="2"/>
        <scheme val="minor"/>
      </rPr>
      <t xml:space="preserve">                                                                                                                                      Le niveau de solvabilité de la PME, validé en comparaison d'autres PME, est au dessus de la moyenne</t>
    </r>
  </si>
  <si>
    <r>
      <t xml:space="preserve">SAVSME CMR SME4 </t>
    </r>
    <r>
      <rPr>
        <sz val="11"/>
        <color theme="1"/>
        <rFont val="Calibri"/>
        <family val="2"/>
        <scheme val="minor"/>
      </rPr>
      <t xml:space="preserve">                                                                                                                                                    Le niveau de solvabilité de la PME, validé en comparaison d'autres PME, est  moyen</t>
    </r>
  </si>
  <si>
    <r>
      <t>SAVSME CMR SME5</t>
    </r>
    <r>
      <rPr>
        <sz val="11"/>
        <color theme="1"/>
        <rFont val="Calibri"/>
        <family val="2"/>
        <scheme val="minor"/>
      </rPr>
      <t xml:space="preserve">                                                                                                                                                      Le niveau de solvabilité de la PME, validé en comparaison d'autres PME, est en dessous de la moyenne</t>
    </r>
  </si>
  <si>
    <r>
      <t>SAVSME CMR SME6</t>
    </r>
    <r>
      <rPr>
        <sz val="11"/>
        <color theme="1"/>
        <rFont val="Calibri"/>
        <family val="2"/>
        <scheme val="minor"/>
      </rPr>
      <t xml:space="preserve">                                                                                                                                                      Le niveau de solvabilité de la PME, validé en comparaison d'autres PME, est insuffisant</t>
    </r>
  </si>
  <si>
    <r>
      <t>SAVSME CMR SME7</t>
    </r>
    <r>
      <rPr>
        <sz val="11"/>
        <color theme="1"/>
        <rFont val="Calibri"/>
        <family val="2"/>
        <scheme val="minor"/>
      </rPr>
      <t xml:space="preserve">                                                                                                                                                     Le niveau de solvabilité de la PME, validé en comparaison d'autres PME, est bas</t>
    </r>
  </si>
  <si>
    <r>
      <t>SAVSME CMR SME8</t>
    </r>
    <r>
      <rPr>
        <sz val="11"/>
        <color theme="1"/>
        <rFont val="Calibri"/>
        <family val="2"/>
        <scheme val="minor"/>
      </rPr>
      <t xml:space="preserve">                                                                                                                                                      Le niveau de solvabilité de la PME, validé en comparaison d'autres PME, est très bas. La PME présente un risque important de défaut.</t>
    </r>
  </si>
  <si>
    <t>Notation conventionnelle des PME adoptée par ELESYST</t>
  </si>
  <si>
    <r>
      <rPr>
        <b/>
        <sz val="11"/>
        <color theme="1"/>
        <rFont val="Calibri"/>
        <family val="2"/>
        <scheme val="minor"/>
      </rPr>
      <t>SME1 Excellent</t>
    </r>
    <r>
      <rPr>
        <sz val="11"/>
        <color theme="1"/>
        <rFont val="Calibri"/>
        <family val="2"/>
        <scheme val="minor"/>
      </rPr>
      <t xml:space="preserve">
Situation économique et financière et visibilité excellentes :  forte position sur ses marchés, faible endettement par rapport aux fonds propres et au cash flow, peu sensible aux aléas conjoncturels (grande stabilité de la situation financière et des résultats à travers les cycles de son industrie et de l'économie en général). Sa taille et sa situation lui donnent un accès très facile aux marchés financiers. La capacité du débiteur à exécuter ses engagements financiers est TRES FORTE</t>
    </r>
  </si>
  <si>
    <r>
      <t xml:space="preserve">
</t>
    </r>
    <r>
      <rPr>
        <b/>
        <sz val="11"/>
        <color theme="1"/>
        <rFont val="Calibri"/>
        <family val="2"/>
        <scheme val="minor"/>
      </rPr>
      <t>SME2 Très Bon</t>
    </r>
    <r>
      <rPr>
        <sz val="11"/>
        <color theme="1"/>
        <rFont val="Calibri"/>
        <family val="2"/>
        <scheme val="minor"/>
      </rPr>
      <t xml:space="preserve">
La situation financière et le niveau de cash flow actuels sont très bons, avec un historique montrant une bonne stabilité, mais avec une légère sensibilité aux aléas conjoncturels. Endettement modéré par rapport aux fonds propres et au cash flow. Solide position sur ses marchés. Très bonne visibilité à court et moyen terme. Accès facile aux marchés financiers. Sa capacité à exécuter ses engagements financiers est FORTE.
</t>
    </r>
  </si>
  <si>
    <r>
      <rPr>
        <b/>
        <sz val="11"/>
        <color theme="1"/>
        <rFont val="Calibri"/>
        <family val="2"/>
        <scheme val="minor"/>
      </rPr>
      <t>SME6 Acceptable</t>
    </r>
    <r>
      <rPr>
        <sz val="11"/>
        <color theme="1"/>
        <rFont val="Calibri"/>
        <family val="2"/>
        <scheme val="minor"/>
      </rPr>
      <t xml:space="preserve">
Les risques sectoriels, financiers et économiques sont importants mais devraient être compensés par les fondamentaux du débiteur. Possibilité limitée de trouver des financements en dehors de ses banques.
La qualité du management est un élément important de la décision.
Les opérations doivent être structurées (garanties, covenants) pour limiter le risque et la rémunération doit être accrue pour tenir compte de la prime de risque plus élevée.
</t>
    </r>
  </si>
  <si>
    <r>
      <rPr>
        <b/>
        <sz val="11"/>
        <color theme="1"/>
        <rFont val="Calibri"/>
        <family val="2"/>
        <scheme val="minor"/>
      </rPr>
      <t>SME7  Potentiellement vulnérable</t>
    </r>
    <r>
      <rPr>
        <sz val="11"/>
        <color theme="1"/>
        <rFont val="Calibri"/>
        <family val="2"/>
        <scheme val="minor"/>
      </rPr>
      <t xml:space="preserve">
Endettement important pour le secteur. Les risques sectoriels, financiers et économiques sont importants et insuffisamment compensés par les fondamentaux du débiteur qui ne présentent pas une qualité, une stabilité et une visibilité suffisantes.
Ce niveau nécessite un suivi attentif.
La qualité du management est un élément primordial de la décision. Ce niveau nécessite une grande exigence dans la structuration des opérations et une rémunération significative.
</t>
    </r>
  </si>
  <si>
    <r>
      <rPr>
        <b/>
        <sz val="11"/>
        <color theme="1"/>
        <rFont val="Calibri"/>
        <family val="2"/>
        <scheme val="minor"/>
      </rPr>
      <t>SME7- Vulnérable</t>
    </r>
    <r>
      <rPr>
        <sz val="11"/>
        <color theme="1"/>
        <rFont val="Calibri"/>
        <family val="2"/>
        <scheme val="minor"/>
      </rPr>
      <t xml:space="preserve">
Une aggravation des risques économiques et financiers qui pèsent sur le débiteur le conduirait  vraisemblablement à faire défaut sur ses engagements financiers.
De nouvelles opérations ne peuvent être envisagées qu'avec une extrême rigueur dans la structuration et uniquement dans le cadre de politiques de crédit dûment autorisées.
</t>
    </r>
  </si>
  <si>
    <r>
      <rPr>
        <b/>
        <sz val="11"/>
        <color theme="1"/>
        <rFont val="Calibri"/>
        <family val="2"/>
        <scheme val="minor"/>
      </rPr>
      <t>SME8- Douteux et/ou compromis</t>
    </r>
    <r>
      <rPr>
        <sz val="11"/>
        <color theme="1"/>
        <rFont val="Calibri"/>
        <family val="2"/>
        <scheme val="minor"/>
      </rPr>
      <t xml:space="preserve">
L'existence d'échéances financières impayées en principal et/ou en intérêts depuis plus de 3 mois entraîne le classement dans cette catégorie.
Les débiteurs les plus faibles de cette catégorie sont dans une situation nettement dégradée et préoccupante quant à la bonne fin des crédits. Un dépôt de bilan est fortement possible. 
Ce niveau doit être suivi de très près. Le suivi doit être assortie d'objectifs précis (réduction des concours, amélioration des garanties, etc.). La gestion doit être centralisée (prise en charge par les équipes spécialisées dans la prévention de la défaillance).</t>
    </r>
  </si>
  <si>
    <r>
      <rPr>
        <b/>
        <sz val="11"/>
        <color theme="1"/>
        <rFont val="Calibri"/>
        <family val="2"/>
        <scheme val="minor"/>
      </rPr>
      <t>SME8 Très vulnérable</t>
    </r>
    <r>
      <rPr>
        <sz val="11"/>
        <color theme="1"/>
        <rFont val="Calibri"/>
        <family val="2"/>
        <scheme val="minor"/>
      </rPr>
      <t xml:space="preserve">
En l'absence d'amélioration de l'environnement (conjoncture et marché), et/ou de mesures drastiques de restructuration industrielle ou financière, la survie de l'entreprise serait en question.
Ce niveau doit être suivi de près et assorti d'objectifs précis pour réduire les risques (réduction des concours, garanties, etc.).
Normalement, il exclut  une entrée en relation ou un accroissement des engagements.</t>
    </r>
  </si>
  <si>
    <r>
      <rPr>
        <b/>
        <sz val="11"/>
        <color theme="1"/>
        <rFont val="Calibri"/>
        <family val="2"/>
        <scheme val="minor"/>
      </rPr>
      <t>SME3 Bon</t>
    </r>
    <r>
      <rPr>
        <sz val="11"/>
        <color theme="1"/>
        <rFont val="Calibri"/>
        <family val="2"/>
        <scheme val="minor"/>
      </rPr>
      <t xml:space="preserve">
Situation financière et cash flow convenables mais montrant quelque volatilité, et qui pourraient être affaiblis par une conjoncture (cycle) ou des évènements défavorables dont l'occurrence est possible. Endettement par rapport aux fonds propres et au cash flow dans la moyenne. Bonne visibilité à court et moyen terme. Possibilité d'accéder à de nouveaux financements dans une conjoncture normale.
Cette note s'applique aussi aux PME dont la situation financière est solide mais qui sont exclues des catégories précédentes en raison de leur taille.
</t>
    </r>
  </si>
  <si>
    <r>
      <rPr>
        <b/>
        <sz val="11"/>
        <color theme="1"/>
        <rFont val="Calibri"/>
        <family val="2"/>
        <scheme val="minor"/>
      </rPr>
      <t>SME4 Assez Bon</t>
    </r>
    <r>
      <rPr>
        <sz val="11"/>
        <color theme="1"/>
        <rFont val="Calibri"/>
        <family val="2"/>
        <scheme val="minor"/>
      </rPr>
      <t xml:space="preserve">
Situation financière et cash flow moyens, avec une plus grande volatilité de la situation financière et du cash flow. Il existe quelques facteurs de risque qui pourraient affaiblir la capacité du débiteur à exécuter ses engagements financiers. Cependant, visibilité satisfaisante à court et moyen terme. Accès restreint aux marchés financiers et plus coûteux, mais possibilité de développement des engagements avec ses banques.
</t>
    </r>
  </si>
  <si>
    <r>
      <rPr>
        <b/>
        <sz val="11"/>
        <color theme="1"/>
        <rFont val="Calibri"/>
        <family val="2"/>
        <scheme val="minor"/>
      </rPr>
      <t>SME5 Moyen</t>
    </r>
    <r>
      <rPr>
        <sz val="11"/>
        <color theme="1"/>
        <rFont val="Calibri"/>
        <family val="2"/>
        <scheme val="minor"/>
      </rPr>
      <t xml:space="preserve">
Cash flow suffisant pour le service de la dette. Les incertitudes sur les fondamentaux du débiteur et son exposition à divers risques (sectoriels, financiers, économiques) peuvent affecter à terme sa capacité à s'acquitter de ses obligations. Visibilité satisfaisante à court terme mais moins claire à moyen terme. Un accroissement des engagements auprès de ses banques reste encore envisageable. La qualité du management est un élément important de la décision. Accès aux marchés financiers limité, restreint et plus coûteux. 
</t>
    </r>
  </si>
  <si>
    <t>Note moyenne des critères et sous-critères d'analyse</t>
  </si>
  <si>
    <t>[1; 1,5]</t>
  </si>
  <si>
    <t>]1,5; 2,5]</t>
  </si>
  <si>
    <t>]2,5 ; 3]</t>
  </si>
  <si>
    <t>] 8 ; 9]</t>
  </si>
  <si>
    <t>]9 ; 10]</t>
  </si>
  <si>
    <t>Surface financière</t>
  </si>
  <si>
    <t xml:space="preserve">Patrimoine </t>
  </si>
  <si>
    <t>insignifiant</t>
  </si>
  <si>
    <t>Non, pas de</t>
  </si>
  <si>
    <t>patrimoine perso</t>
  </si>
  <si>
    <t xml:space="preserve">Non, pas du tout </t>
  </si>
  <si>
    <t>de patrimoine</t>
  </si>
  <si>
    <t>se pose à moyen terme, relève non prévue</t>
  </si>
  <si>
    <t>se pose à court terme,relève non assurée</t>
  </si>
  <si>
    <t xml:space="preserve">gestion par administrateur </t>
  </si>
  <si>
    <t>Ne se pose pas du tout</t>
  </si>
  <si>
    <t>Assurée depuis un certain temps (Moyen)</t>
  </si>
  <si>
    <t>Assurée depuis quelque temps (Court)</t>
  </si>
  <si>
    <t>Ne se pose pas</t>
  </si>
  <si>
    <t>Garantie par le cadre juridique et fonctionnel</t>
  </si>
  <si>
    <t xml:space="preserve">Garantie par le cadre juridique </t>
  </si>
  <si>
    <t>Surface financière faible</t>
  </si>
  <si>
    <t>Surface financière très faible</t>
  </si>
  <si>
    <t>Patrimoine insignifiant</t>
  </si>
  <si>
    <t>Non, pas patrimoine personnel</t>
  </si>
  <si>
    <t>Surface financière limitée</t>
  </si>
  <si>
    <t>Non, pas de patrimoine du tout</t>
  </si>
  <si>
    <t>Adéquation des investissements / Impact sur l'emploi</t>
  </si>
  <si>
    <t>Cohérence des  options stratégiques  / Impact sur l'environnement</t>
  </si>
  <si>
    <t>Maîtrise des coûts de productivité / Impact sur la création des richesses</t>
  </si>
  <si>
    <t>Cohérence des options stratégiques / Impact sur l'environnement</t>
  </si>
  <si>
    <t>Maîtrise des coûts de productivité / Impact la création de richesses</t>
  </si>
  <si>
    <t>Maîtrise des coûts de productivité / Impact sur la création de richesses</t>
  </si>
  <si>
    <t>Apprecier si les investissements consentis par l'entreprise permettent de réaliser en quantité et en qualité les biens et services souhaités par cette dernière et si l'impact sur la création et la préservation des emplois est positif.</t>
  </si>
  <si>
    <t>Evaluer la capacité de l'entreprise à minimiser ses coûts de production tout en réalisant des gains supplémentaires. Apprécier sa capacité à créer des richesses nouvelles.</t>
  </si>
  <si>
    <t>Il importe qu'à la création d'une entreprise ou au début de chaque nouvel exercice, de s'assurer de la cohérence des décisions stratégiques prises par les dirigeants concernant : l'activité, les moyens de production, les ressources humaines et les finances. Une inadéquation entre ces décisions constitue une source importante de risque de pertes pour l'entreprise. L'impact environnemental des options stratégiques retenues doit influencer l'évaluation.</t>
  </si>
  <si>
    <t>Représentation fidèle de la réalité par l'information comptable et financière</t>
  </si>
  <si>
    <t>au 31/12/N</t>
  </si>
  <si>
    <t>au 31/12/N-1</t>
  </si>
  <si>
    <t>Achats de marchandises</t>
  </si>
  <si>
    <t>Variation de stocks de marchandises</t>
  </si>
  <si>
    <t>-/+</t>
  </si>
  <si>
    <t>3C &amp; 28</t>
  </si>
  <si>
    <t>3D</t>
  </si>
  <si>
    <t>EXERCICE N-1</t>
  </si>
  <si>
    <t>- Actif circulant HAO</t>
  </si>
  <si>
    <t>ZB</t>
  </si>
  <si>
    <t>- Décaissements liés aux acquisitions d'immobilisations corporelles</t>
  </si>
  <si>
    <t>- Décaissements liés aux acquisitions d'immobilisations financières</t>
  </si>
  <si>
    <t>+ Encaissements liés aux cessions d'immobilisations incorporelles et corporelles</t>
  </si>
  <si>
    <t>+ Encaissements liés aux cessions d'immobilisations financières</t>
  </si>
  <si>
    <t>ZC</t>
  </si>
  <si>
    <t>+ Augmentation de capital par apports nouveaux</t>
  </si>
  <si>
    <t>+ Subventions d'investissement reçues</t>
  </si>
  <si>
    <t>- Dividendes versés</t>
  </si>
  <si>
    <t>+ Emprunts</t>
  </si>
  <si>
    <t>FICHE DE SYNTHESE DES PRINCIPAUX INDICATEURS FINANCIERS</t>
  </si>
  <si>
    <t>EN MILLIONS DE FRANCS</t>
  </si>
  <si>
    <t>Année N</t>
  </si>
  <si>
    <t>Année N-1</t>
  </si>
  <si>
    <t>Variation en %</t>
  </si>
  <si>
    <t xml:space="preserve">ANALYSE DE L'ACTIVITE </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</si>
  <si>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</si>
  <si>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</si>
  <si>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</si>
  <si>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</si>
  <si>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</si>
  <si>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</si>
  <si>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</si>
  <si>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</si>
  <si>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</si>
  <si>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</si>
  <si>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</si>
  <si>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 Valeurs comptables des cessions courantes d’immobilisation (compte 654)</t>
  </si>
  <si>
    <t>- Produits des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</si>
  <si>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</si>
  <si>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</si>
  <si>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</si>
  <si>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</si>
  <si>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</si>
  <si>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</si>
  <si>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</si>
  <si>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</si>
  <si>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</si>
  <si>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les résultats</t>
  </si>
  <si>
    <t>= CAPACITE D'AUTOFINANCEMENT GLOBALE (C.A.F.G.)</t>
  </si>
  <si>
    <t>- Distributions de dividendes opérées durant l'exercice</t>
  </si>
  <si>
    <t xml:space="preserve">= AUTOFINANCEMENT </t>
  </si>
  <si>
    <t>ANALYSE DE LA RENTABILITE</t>
  </si>
  <si>
    <t>Rentabilité économique = Résultat d’exploitation (a) /Capitaux propres + dettes financières</t>
  </si>
  <si>
    <t>Rentabilité financière = Résultat net/Capitaux propres</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</si>
  <si>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</si>
  <si>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</si>
  <si>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</si>
  <si>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</si>
  <si>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</si>
  <si>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</si>
  <si>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</si>
  <si>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</si>
  <si>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</si>
  <si>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</si>
  <si>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</si>
  <si>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</si>
  <si>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</si>
  <si>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</si>
  <si>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 NETTE = (TRESOR. - ACTIF) - (TRESOR. -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</si>
  <si>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</si>
  <si>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</si>
  <si>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</si>
  <si>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</si>
  <si>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</si>
  <si>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 DE L’ENDETTEMENT FINANCIER NET</t>
  </si>
  <si>
    <t>Endettement financier brut (Dettes financières* + Trésorerie – passif)</t>
  </si>
  <si>
    <t>- Trésorerie -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</si>
  <si>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</si>
  <si>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</si>
  <si>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</si>
  <si>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</si>
  <si>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RATIOS USUELS</t>
  </si>
  <si>
    <t>Ratio d'endettement global ((Actif-Capitaux propres)/Actif)</t>
  </si>
  <si>
    <t>Il permet d'apprécier la niveau de d'endettement de l'entreprise et sa soutenntabilité. Il compare la dette d’une entreprise à ses actifs, ce qui donne alors une idée du levier qu’utilise cette dernière pour fonctionner. Il est égal à :
(Actifs - Capitaux propres) / Actifs
Un ratio faible traduit une faible dépendance à l’égard de la dette, autrement dit, l’entreprise n’a pas un besoin vital de faire appel aux capitaux d’agents extérieurs (banques) pour opérer. Plus le ratio est faible, plus l’entreprise fait appel à ses propres capitaux pour fonctionner (autofinancement). Plus le ratio est élevé, plus l’entreprise a une comptabilité risquée. Si un ratio démesurément élevé peut mettre en péril la solvabilité de l’entreprise, il peut également masquer un sous-investissement de celle-ci, et donc, un potentiel décrochage en termes de compétitivité.
Un ratio d’endettement de 0,50 est considéré comme acceptable. Cela signifie que l’entreprise possède deux fois plus d’actifs que de dettes. Ou, exprimé différemment, les dettes ne représentent que la moitié des actifs. En d’autres termes, les créditeurs de l’entreprise possèdent la moitié des actifs de celle-ci, tandis que les actionnaires détiennent l’autre moitié.</t>
  </si>
  <si>
    <t>Ratio d'endettement global ((Actifs - Capitaux propres)/ Actifs) &lt;1</t>
  </si>
  <si>
    <t>Elle permet d'apprécier l'évolution de l'équilibre financier dans le temps (la situation d'équilibre financier étant la couverture de l'ensemble des besoin liés à l'exploitation par le fond de roulement). Un ratio de structure financière de 0,5 est considéré comme acceptable. Cela signifie que le FR couvre au moins la moitié du BFR.</t>
  </si>
  <si>
    <t>Capacité de  Remboursement (DLMT/CAFG)</t>
  </si>
  <si>
    <t>Ce ratio est exprimé en un chiffre, qui indique combien de fois les intérêts sont couverts par les flux de trésorerie des activités ordinaires. Un ratio de couverture inférieur à 3 signale que la marge de sécurité de l'entreprise est insuffisante. Un ratio égal à 3 est considéré comme un minimum. Il permet d'évaluer la capacité de l'entreprise à rembourser les charges financières à partir de ses ressources d'exploitation.</t>
  </si>
  <si>
    <t>Couverture des frais financiers (FTAO/FF)</t>
  </si>
  <si>
    <t>C'est la mesure de la solvabilité globale de l'affaire : les ressources propres doivent être suffisantes pour supporter une certaine dévalorisation de l'actif tel qu'il figure au bilan. La comparaison du niveau des ressources propres par rapport au total du bilan est une mesure du degré d'engagement des actionnaires dans le risque d'entreprise. On considère que ce ratio doit excéder les 25% pour que l'entreprise ne soit pas trop endettée, on majorera ce chiffre pour le secteur industriel (35%) et on le minorera pour le secteur commercial (20%).                                                          Ce ratio mesure aussi, du point de vue des tiers à l'entreprise -  hors associés et prêteurs - quelle dépréciation moyenne peut supporter l'actif avant que ces tiers ne soient amenés à assumer eux mêmes le risque d'entreprise.</t>
  </si>
  <si>
    <t xml:space="preserve">Solvabilité globale  Risque liquidatif ( Ressources Propres/Total Bilan) </t>
  </si>
  <si>
    <t xml:space="preserve">Solvabilité globale  Risque liquidatif (Ressources Propres /Total Bilan) </t>
  </si>
  <si>
    <t>&gt;6</t>
  </si>
  <si>
    <t>&gt;5</t>
  </si>
  <si>
    <t>&gt;3</t>
  </si>
  <si>
    <t>Il exprime la disposition de l'entreprise à rembourser son endettement net au moyen de sa capacité d'autofinancement. Il permet de mesurer le nombre d'années de CAFG necessaire à l'entreprise pour rembourser, par ses propres moyens, la totalité de ses dettes. Un ratio de capacité de remboursement de 3 est considéré comme acceptable.</t>
  </si>
  <si>
    <t>&gt;4</t>
  </si>
  <si>
    <t>&lt;3</t>
  </si>
  <si>
    <t>&lt;2</t>
  </si>
  <si>
    <t>&lt;1,5</t>
  </si>
  <si>
    <t>&lt;1</t>
  </si>
  <si>
    <t>&lt;0,5</t>
  </si>
  <si>
    <t>&gt;25%</t>
  </si>
  <si>
    <t>&gt;35%</t>
  </si>
  <si>
    <t>&gt;30%</t>
  </si>
  <si>
    <t>=25%</t>
  </si>
  <si>
    <t>&lt;25%</t>
  </si>
  <si>
    <t>&lt;20%</t>
  </si>
  <si>
    <t>&lt;15%</t>
  </si>
  <si>
    <t>&lt;10%</t>
  </si>
  <si>
    <t>&lt;5%</t>
  </si>
  <si>
    <t>]3  ; 3,4 ]</t>
  </si>
  <si>
    <t>&lt;3%</t>
  </si>
  <si>
    <t>Solvabilité globale - Risque liquidatif                  (Ressources Propres/Total Bilan) &gt; 25%</t>
  </si>
  <si>
    <t>Couverture des frais financiers  (FTAO/FF)&gt; 3</t>
  </si>
  <si>
    <t>Capacité de remboursement (DLMT/ CAFG) &lt; 3</t>
  </si>
  <si>
    <t>Capacité d'endettement (Ressources Propres/Dettes structurelles)&gt;1</t>
  </si>
  <si>
    <t>&gt;1</t>
  </si>
  <si>
    <t>Solvabilité globale  Risque liquidatif ( Ressources Propres/Total Bilan)&gt;25%</t>
  </si>
  <si>
    <t xml:space="preserve">En règle générale, ce ratio doit être supérieur à 1. Il permet de s'assurer que les concours bancaires à long et moyen terme ne sont pas supérieurs à ceux des investisseurs associés au risque d'entreprise. Plus cette capacité d'endettement est importante, plus la société pourra avoir recours à l'emprunt pour financer des acquisitions ou investissements.
Il convient cependant de modérer cette limite stricte en tenant compte des différents secteurs d'activité et de leurs spécificités. Les entreprises de négoce, par exemple, ont des ressources propres faibles et des engagements à court terme élevés. Dans ce cas le ratio acceptable pourra aller jusqu'à 0,1.
On pourra calculer la marge théorique d'endettement de la façon suivante :
Marge = Ressources propres - Dettes structurelles
</t>
  </si>
  <si>
    <t>Assimilable au fonds de roulement, ce ratio permet de savoir si une entreprise est capable d’assumer (ou pas) ses dettes à court terme en les mettant au regard de ses actifs à court terme.
Ce ratio doit toujours être supérieur à 1. Plus il est élevé, plus la latitude dont dispose une société pour développer ses activités est grande. Sauf circonstances particulières, un ratio inférieur à 1 signifie que le fonds de roulement est négatif.</t>
  </si>
  <si>
    <t>Liquidité générale (Ratio de FR= Actifs circulants/ Passifs circulants)&gt;1</t>
  </si>
  <si>
    <t>Liquidité général (Ratio de FR= Actifs circulants/ Passifs circulants)&gt;1</t>
  </si>
  <si>
    <t>Il permet d'apprecier  la capacité de l'exploitation à dégager un revenu satisfaisant après couverture des charges directement liées à l'activité. 
L'EBE est indispensable pour apprécier la performance d’une société car il permet de mesurer les bénéfices et profits réalisés dans l’entreprise. Il est également très utilisé car n’étant pas affecté par la politique d’amortissement et de provision de l’entreprise. En anglais, on parle de Earnings Before Interest, Taxes, Depreciation and Amortization (EBITDA).
Formule :
Excédent Brut d'Exploitation = valeur ajoutée brute - frais du personnel (salaires + cotisations sociales) - impôts et taxes liés à la production (- participation des salariés, pour obtenir l’EBITDA)
Le ratio EBE/CA, appelé marge d’EBE, permet d’apprécier le partage de la valeur ajoutée entre les actionnaires (qui sont rémunérés à partir de l'Excédent brut d'exploitation) et les salariés.</t>
  </si>
  <si>
    <t>Permet d'apprecier le comportement de la rentabilité comparativement aux investissements de toute nature necessaires à l'exploitation de l'entreprise. C’est un ratio fondamental de l’analyse financière. Il représente l’efficacité avec laquelle l’entreprise utilise les capitaux mis à sa disposition et n’est pas affecté par la structure financière de l’entreprise.
Le principal inconvénient de ce ratio est qu’il prend en compte la valeur comptable d’actifs qui se déprécient, alors que le résultat d’exploitation a tendance à croître avec l’inflation. Dans le cadre d’une comparaison d’entreprises ayant la même activité, les actifs les plus dépréciés auront une ROCE plus élevée, même si les actifs les plus récents sont peut-être plus efficaces. Un ratio de rentabilité économique de 10% est considéré comme acceptable.</t>
  </si>
  <si>
    <t>&gt;50%</t>
  </si>
  <si>
    <t>&gt;45%</t>
  </si>
  <si>
    <t>&gt;40%</t>
  </si>
  <si>
    <t>=30%</t>
  </si>
  <si>
    <t>&lt;30%</t>
  </si>
  <si>
    <t>&gt; 30%</t>
  </si>
  <si>
    <t>&gt; 10%</t>
  </si>
  <si>
    <t>Rentabilité économique ou Return On Capital Employed (ROCE)                 (Résultat d'Exploitation / Total actifs) &gt; 10%</t>
  </si>
  <si>
    <t>&gt;20%</t>
  </si>
  <si>
    <t>&gt;17,5%</t>
  </si>
  <si>
    <t>&gt;15%</t>
  </si>
  <si>
    <t>&gt;12,5%</t>
  </si>
  <si>
    <t>=10%</t>
  </si>
  <si>
    <t>&lt;7,5%</t>
  </si>
  <si>
    <t>&lt;1%</t>
  </si>
  <si>
    <t>Rentabilité économique ( REX/ACTIF)&gt;10%</t>
  </si>
  <si>
    <t>Rentabilité Financière (CP/RN)&gt;10%</t>
  </si>
  <si>
    <t>Rentabilité financière (RN/ Capitaux Propres)&gt;10%</t>
  </si>
  <si>
    <t>Egalement appelé «Return on Equity» (ROE), ce ratio permet de mesurer les profits dégagés par la société avec l’argent investi par les actionnaires.
Il permet de comparer la profitabilité d’une société par rapport aux autres entreprises intervenant dans le même secteur d’activité.
Ce ratio ne prend de sens qu’en fonction du secteur sur lequel l’entreprise intervient et en comparaison avec la norme sectorielle. Les secteurs qui nécessitent d’importants investissements de base font davantage appel aux actionnaires et inversement pour ceux ne requérant que peu d’infrastructures.</t>
  </si>
  <si>
    <t>Rentabilité économique ( REX/ACTIF) &gt;10%</t>
  </si>
  <si>
    <t xml:space="preserve">Délai Moyen de Recouvrement des Comptes Clients   </t>
  </si>
  <si>
    <t xml:space="preserve">Délai Client   ( (créances client /CA)*365) </t>
  </si>
  <si>
    <t>Il permet de mesurer le nombre moyen de jours qu'il faut aux clients pour payer leurs factures. Il fournit également une indication de l'efficacité des politiques de crédit et de recouvrement en vigueur dans l'entreprise. Le nombre de jours dans l'exercice correspond au nombre de jours de la période à mesurer; il s'établit le plus souvent à 365.
Formule :
Délai de recouvrement des comptes-clients = 365 x solde moyen des comptes clients / chiffres d’affaires de l’exercice
En comparant la durée obtenue par calcul avec la norme du secteur concerné, il est possible de savoir si l’entreprise est trop ou pas assez sévère quant aux délais accordés aux clients pour rembourser leur crédit. Si le ratio obtenu est inférieur à la norme, cela signifie que l’entreprise a une politique de crédit trop restrictive, avec pour conséquence le risque de perdre des clients, ou de la forcer, pour conserver ses clients, à accorder des rabais sur ses prix de vente ou encore des escomptes de caisse importantes. Si le nombre obtenu est supérieur à la norme, cela démontre une faiblesse dans le recouvrement des factures.
Il est possible également que l’entreprise pratique l’affacturage. Dans ce cas, le poste Clients est minoré au profit de la trésorerie (VMP et disponible).</t>
  </si>
  <si>
    <t>Délai Moyen de Règlement des Comptes Fournisseurs</t>
  </si>
  <si>
    <t>Il permet de mesurer le nombre de jours qu'il faut en moyenne à l'entreprise pour payer ses fournisseurs entre le moment où un achat est conclu et le moment où la facture est réglé. Le solde moyen des comptes fournisseurs correspond à la moyenne du solde d'ouverture et du solde de clôture des comptes fournisseurs pour l'ensemble de la période à mesurer.
Délai moyen de règlement des comptes fournisseurs = 365 X solde moyen des comptes fournisseurs / achats à crédit
Une politique de paiement des fournisseurs équilibrée permettra à l’entreprise de profiter au maximum du crédit mis à sa disposition (sans frais d’intérêt) ainsi que les escomptes de caisses offertes et de conserver sa réputation de crédit auprès des fournisseurs. Si la période de paiement de l’entreprise est inférieure à la norme ou période moyenne du secteur, c’est le signe probable que l’entreprise paie plus rapidement ses comptes fournisseurs que ceux-ci ne demandent de l’être. Par conséquent, elle se prive d’une partie de ses sources de financement gratuit que sont les comptes fournisseurs. Si la période de paiement est supérieure à la moyenne, ceci pourrait être le signe que l’entreprise éprouve des difficultés à honorer ses dettes et qu’elle se trouve, probablement, dans une situation risquée.
L’objectif d’une entreprise est d’accorder le délai de paiement le plus court possible à ses clients et d’obtenir le délai de paiement le plus long de la part de ses fournisseurs.</t>
  </si>
  <si>
    <t xml:space="preserve">Délai Fournisseur ( (dettes fournisseurs /Achats à crédit)*365) </t>
  </si>
  <si>
    <t>Délai d'Ecoulement des Stocks</t>
  </si>
  <si>
    <t>Il permet de mesurer le nombre moyen de jours d’activités commerciales que l’entreprise peut satisfaire grâce à la quantité de marchandises qu’elle a en stock. Le stock moyen est la moyenne du solde d'ouverture et du solde de clôture de l'inventaire.
Formule :
Délai moyen d’écoulement des stocks = 365 X stock moyen / coût des produits vendus
Si le ratio obtenu est inférieur à la norme du secteur, c’est que l’entreprise vend ses stocks très rapidement ou de plus ne plus rapidement. Si cela ne nuit pas à la croissance de l’entreprise, c’est le signe que les marchandises proposées au public sont bien acceptées et faciles à vendre. Si il est supérieur à la norme, cela signifie que les marchandises se vendent de moins en moins rapidement. C’est l’indice que le public accepte moins bien les produits ou que certaines marchandises dépréciées se sont accumulées dans les stocks ou qu’il y a eu des erreurs de planification de la production et/ou des achats.</t>
  </si>
  <si>
    <t>Délai d'Ecoulement des Stocks  ((stock moyen/Coût des produits vendus)*365 )</t>
  </si>
  <si>
    <t>Coût des produits vendus</t>
  </si>
  <si>
    <t>Délai d'Ecoulement des stocks  ( (stock moyen/Coûts des produits vendus)*365 )</t>
  </si>
  <si>
    <t>Stock moyen**</t>
  </si>
  <si>
    <t>*Fournisseurs avances versées N-2</t>
  </si>
  <si>
    <t>*Clients N-2</t>
  </si>
  <si>
    <t>*Autres créances N-2</t>
  </si>
  <si>
    <t>* A renseigner manuellement</t>
  </si>
  <si>
    <t>*STOCKS ET ENCOURS N-2</t>
  </si>
  <si>
    <t>*TOTAL PASSIF CIRCULANT N-2</t>
  </si>
  <si>
    <t>*Trésorerie nette au 1er janvier N-1 (Trésorerie actif N-2 - Trésorerie passif N-2)</t>
  </si>
  <si>
    <t>Trésorerie nette au 1er janvier (Trésorerie actif N-1 - Trésorerie passif N-1)*</t>
  </si>
  <si>
    <t>- Variations des créances</t>
  </si>
  <si>
    <t>- Variations des stocks</t>
  </si>
  <si>
    <t>+ Variation du passif circulant</t>
  </si>
  <si>
    <t>*Colonnes I (EXERCICE au 31/12/N) et I (EXERCICE au 31/12/N-1) à renseigner manuellement</t>
  </si>
  <si>
    <t xml:space="preserve">Total Flux de trésorerie provenant des capitaux propres </t>
  </si>
  <si>
    <t>Total Flux de trésorerie provenant des capitaux étrangers</t>
  </si>
  <si>
    <t xml:space="preserve">Flux de trésorerie provenant des activités d'investissement </t>
  </si>
  <si>
    <t xml:space="preserve">Flux de trésorerie provenant des activités d'investissement (1) &amp; (2) </t>
  </si>
  <si>
    <r>
      <t xml:space="preserve">(1) </t>
    </r>
    <r>
      <rPr>
        <sz val="11"/>
        <color theme="1"/>
        <rFont val="Times New Roman"/>
        <family val="1"/>
      </rPr>
      <t>Déduire du montant des acquisitions de l’exercice la variation des dettes sur acquisitions d’immobilisations pour l’obtention des décaissements liés aux acquisitions d’immobilisations incorporelles, corporelles et financières.</t>
    </r>
  </si>
  <si>
    <r>
      <t xml:space="preserve">(2) </t>
    </r>
    <r>
      <rPr>
        <sz val="11"/>
        <color theme="1"/>
        <rFont val="Times New Roman"/>
        <family val="1"/>
      </rPr>
      <t>Encaissements liés aux cessions d’immobilisations incorporelles, corporelles et financières =  prix de cession des immobilisations – variation des créances sur cessions d’immobilisations (exercices N – N-1).</t>
    </r>
  </si>
  <si>
    <t>Pour reconstituer le montant des acquisitions d’immobilisations corporelles de l’exercice, il faut utiliser la relation suivante par exemple :</t>
  </si>
  <si>
    <t>Variation des immobilisations corporelles nettes (exercices N – N-1)</t>
  </si>
  <si>
    <t>+Dotations aux amortissements (exercice N)</t>
  </si>
  <si>
    <t>+Dotations aux dépréciations (exercice N)</t>
  </si>
  <si>
    <t>+Valeur comptable nette des immobilisations corporelles cédées (exercice N)</t>
  </si>
  <si>
    <t>+Avances et acomptes sur immobilisations corporelles, payés au cours de l’exercice et non livrées</t>
  </si>
  <si>
    <t>- Ecart et provision spéciale de réévaluation de l’exercice, de réévaluation uniquement (exercice N)</t>
  </si>
  <si>
    <t>- Coûts relatifs au démantèlement, à l’enlèvement de l’immobilisation et à la remise en état du site imputés aux immobilisations de l’exercice en cours</t>
  </si>
  <si>
    <t>- Avances et acomptes sur immobilisations corporelles acquises au cours de l’exercice, payés au cours des exercices précédents</t>
  </si>
  <si>
    <t>*Colonnes G (BRUT), I (AMORT. Et DEPREC.), T(EXERCICE au 31/12/N) et V(EXERCICE au 31/12/N-1) / Cellules K43 à 48 à renseigner manuellement</t>
  </si>
  <si>
    <t>2019</t>
  </si>
  <si>
    <t>FLUX DE TRESORERIE DETAILLES</t>
  </si>
  <si>
    <t>*Colonnes D (EXERCICE au 31/12/N) et F (EXERCICE au 31/12/N-1) à renseigner manuellement</t>
  </si>
  <si>
    <t>ELESYST SA</t>
  </si>
  <si>
    <t>MO1779U7P00197</t>
  </si>
  <si>
    <t>Représentation fidèle réalité  comptable et financière/ Transparence des transactions</t>
  </si>
  <si>
    <t>Implication du dirigeant / Surface financière des promoteurs</t>
  </si>
  <si>
    <t>Qualité des garanties &amp; Actifs cessibles</t>
  </si>
  <si>
    <t>Rentabilité Financière (RN/Capitaux propres)&gt;10%</t>
  </si>
  <si>
    <t>Rentabilité Financière (RN/Capitaux propres)</t>
  </si>
  <si>
    <t>QUALITE DE L'INFORMATION FINANCIERE ET GARANTIES</t>
  </si>
  <si>
    <t>Représentation fidèle réalité comptable et financière/ Transparence des transactions</t>
  </si>
  <si>
    <t xml:space="preserve"> Le dirigeant de l'entité doit veiller personnellement à la qualité de l'information comptable et financière de l'entité. Il doit pour cela être capable de comprendre les enjeux de l'organisation comptable et d'interpréter lui-même les résultats produits par les états financiers. Il doit également démontrer son engagement et sa détermination à assurer la transparence de ses transactions financières, et le cas échéant à apporter sa caution à l'entreprise.</t>
  </si>
  <si>
    <t>Evaluation de la conformité des pratiques comptables et financières. Evaluation de la fidélité des informations comptables et financières par rapport à la réalité. Vérification de la conformité des transactions.</t>
  </si>
  <si>
    <t>Ce sous-critère permet d'apprécier si l'entreprise et/ou ses promoteurs détiennent des actifs (corporels, incorporels, financiers,...) qu'ils peut céder ou offrir en garantie pour traverser une situation difficile, voire pour assurer sa croissance et bénéficier de financements extérieurs. Le  jugement portera sur la rapidité possible des céssions, leur montant, et les plus ou moins value   / Critère lié au profil du dirigeant et qui intègre la capacité de ce dernier à apporter une aide financière (apport en fonds propres) ou une caution (solidaire, hypothécaire ou financière).</t>
  </si>
  <si>
    <t>*Distributions de dividendes opérées durant les exercices N et N-1</t>
  </si>
  <si>
    <t>Vos produits ou services s’adressent t’ils uniquement au marché local ? Si oui, comment est délimitée votre zone de vente ?</t>
  </si>
  <si>
    <t>Quelle est la situation de la concurrence dans votre secteur d’activité?</t>
  </si>
  <si>
    <t>Pensez-vous que l’état actuel des environnements politique, social, législatif, du pays garantit le plein essor de votre activité ?</t>
  </si>
  <si>
    <t>Connaissez-vous des périodes d’inactivité? A quoi pensez-vous que cela est dû ?</t>
  </si>
  <si>
    <t>Les prix de vos matières premières sur le marché varient-ils ? Si oui, à quelle fréquence ?</t>
  </si>
  <si>
    <t>Les prix de vos produits sur le marché varient-ils ? Si oui, à quelle fréquence ?</t>
  </si>
  <si>
    <t>Adaptez-vous vos produits ou services aux attentes de vos clients ?</t>
  </si>
  <si>
    <t>Quelle est la participation moyenne au chiffre d'affaire de vos principaux  clients ?</t>
  </si>
  <si>
    <t>Parmi eux, existe-t-il un qui représente plus de 10% de votre chiffre d'affaire ? Si oui, combien ?</t>
  </si>
  <si>
    <t xml:space="preserve">Barrières à l'entrée </t>
  </si>
  <si>
    <t>Quel est le volume annuel des pertes financières associées aux contraintes  administratives et fiscales dans l’exercice  de votre activité ?</t>
  </si>
  <si>
    <t>Quel est le volume annuel des pertes financières liées au déficit infrastructurel ? (défaut de voies de transport, défaut de moyens de transport adéquats, etc.)</t>
  </si>
  <si>
    <t>Quel est le niveau de disponibilité des matières premières ?</t>
  </si>
  <si>
    <t>Visibilité sur le secteur</t>
  </si>
  <si>
    <t>Pensez-vous qu’il existe des perspectives favorables en ce qui concerne votre secteur d’activité ? (réglementation, plans de développement, contraintes administratives et fiscales, subventionnements) Si oui, lesquelles ? Sinon, pourquoi ?</t>
  </si>
  <si>
    <t>Sous-critères</t>
  </si>
  <si>
    <t>Question de notation</t>
  </si>
  <si>
    <t>CRITERE ACTIVITE</t>
  </si>
  <si>
    <t>Périodes d'observation</t>
  </si>
  <si>
    <t>Prévisions</t>
  </si>
  <si>
    <t>Note CRITERE ACTIVITE</t>
  </si>
  <si>
    <t>Note sous-critère</t>
  </si>
  <si>
    <r>
      <t xml:space="preserve">En moyenne, quelle proportion de vos produits mis à la vente parvenez-vous à écouler par an? </t>
    </r>
    <r>
      <rPr>
        <sz val="11"/>
        <color rgb="FF00B050"/>
        <rFont val="Times New Roman"/>
        <family val="1"/>
      </rPr>
      <t>(entreprises industrielles et commerciales)</t>
    </r>
    <r>
      <rPr>
        <sz val="11"/>
        <color theme="1"/>
        <rFont val="Times New Roman"/>
        <family val="1"/>
      </rPr>
      <t xml:space="preserve">                                 En moyenne, quel est le niveau d’atteinte de vos objectifs de vente annuels ? </t>
    </r>
    <r>
      <rPr>
        <sz val="11"/>
        <color rgb="FF00B050"/>
        <rFont val="Times New Roman"/>
        <family val="1"/>
      </rPr>
      <t>(entreprises de services)</t>
    </r>
    <r>
      <rPr>
        <sz val="11"/>
        <color theme="1"/>
        <rFont val="Times New Roman"/>
        <family val="1"/>
      </rPr>
      <t xml:space="preserve">
PS : Les objectifs de vente peuvent être estimés par l’analyste à base de son bilan d’ouverture, sa capacité de production, etc.</t>
    </r>
  </si>
  <si>
    <t>Entreprise 1</t>
  </si>
  <si>
    <t>Entreprise 2</t>
  </si>
  <si>
    <t>Note moyenne</t>
  </si>
  <si>
    <t>Période 1</t>
  </si>
  <si>
    <t>Période 2</t>
  </si>
  <si>
    <t>Période 3</t>
  </si>
  <si>
    <t>Critère Activité - Secteur 1</t>
  </si>
  <si>
    <t>Note maximale</t>
  </si>
  <si>
    <t>Note minimale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</si>
</sst>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56"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i/>
      <sz val="11"/>
      <color theme="1"/>
      <name val="Times New Roman"/>
      <family val="1"/>
    </font>
    <font>
      <b/>
      <sz val="14"/>
      <color theme="1"/>
      <name val="Times New Roman"/>
      <family val="1"/>
    </font>
    <font>
      <b/>
      <sz val="9"/>
      <name val="Arial"/>
      <family val="2"/>
    </font>
    <font>
      <sz val="9"/>
      <name val="Arial"/>
      <family val="2"/>
    </font>
    <font>
      <b/>
      <sz val="10"/>
      <name val="Times New Roman"/>
      <family val="1"/>
    </font>
    <font>
      <sz val="11"/>
      <color theme="1"/>
      <name val="Calibri"/>
      <family val="2"/>
      <scheme val="minor"/>
    </font>
    <font>
      <b/>
      <sz val="16"/>
      <color theme="1"/>
      <name val="Times New Roman"/>
      <family val="1"/>
    </font>
    <font>
      <sz val="8"/>
      <name val="Times New Roman"/>
      <family val="1"/>
    </font>
    <font>
      <sz val="11"/>
      <name val="Times New Roman"/>
      <family val="1"/>
    </font>
    <font>
      <i/>
      <sz val="8"/>
      <name val="Times New Roman"/>
      <family val="1"/>
    </font>
    <font>
      <sz val="11"/>
      <color rgb="FF000000"/>
      <name val="Times New Roman"/>
      <family val="1"/>
    </font>
    <font>
      <b/>
      <sz val="11"/>
      <color rgb="FF000000"/>
      <name val="Times New Roman"/>
      <family val="1"/>
    </font>
    <font>
      <b/>
      <sz val="12"/>
      <color rgb="FF000000"/>
      <name val="Times New Roman"/>
      <family val="1"/>
    </font>
    <font>
      <sz val="8"/>
      <color rgb="FF333333"/>
      <name val="Times New Roman"/>
      <family val="1"/>
    </font>
    <font>
      <b/>
      <sz val="12"/>
      <color theme="1"/>
      <name val="Times New Roman"/>
      <family val="1"/>
    </font>
    <font>
      <b/>
      <sz val="12"/>
      <name val="Arial"/>
      <family val="2"/>
    </font>
    <font>
      <b/>
      <sz val="18"/>
      <color theme="1"/>
      <name val="Times New Roman"/>
      <family val="1"/>
    </font>
    <font>
      <b/>
      <sz val="9"/>
      <color theme="1"/>
      <name val="Times New Roman"/>
      <family val="1"/>
    </font>
    <font>
      <b/>
      <sz val="8"/>
      <color theme="1"/>
      <name val="Times New Roman"/>
      <family val="1"/>
    </font>
    <font>
      <b/>
      <sz val="12"/>
      <color rgb="FF000000"/>
      <name val="Arial"/>
      <family val="2"/>
    </font>
    <font>
      <b/>
      <i/>
      <sz val="10"/>
      <color rgb="FF000000"/>
      <name val="Arial"/>
      <family val="2"/>
    </font>
    <font>
      <b/>
      <sz val="11"/>
      <name val="Times New Roman"/>
      <family val="1"/>
    </font>
    <font>
      <b/>
      <sz val="10"/>
      <color theme="1"/>
      <name val="Times New Roman"/>
      <family val="1"/>
    </font>
    <font>
      <b/>
      <sz val="9"/>
      <color rgb="FF000000"/>
      <name val="Times New Roman"/>
      <family val="1"/>
    </font>
    <font>
      <b/>
      <sz val="6"/>
      <color rgb="FF000000"/>
      <name val="Times New Roman"/>
      <family val="1"/>
    </font>
    <font>
      <b/>
      <sz val="10"/>
      <color rgb="FF000000"/>
      <name val="Times New Roman"/>
      <family val="1"/>
    </font>
    <font>
      <b/>
      <sz val="9"/>
      <name val="Times New Roman"/>
      <family val="1"/>
    </font>
    <font>
      <sz val="11"/>
      <color rgb="FFFF0000"/>
      <name val="Calibri"/>
      <family val="2"/>
      <scheme val="minor"/>
    </font>
    <font>
      <sz val="11"/>
      <color rgb="FFFF0000"/>
      <name val="Times New Roman"/>
      <family val="1"/>
    </font>
    <font>
      <b/>
      <sz val="10"/>
      <color rgb="FFFF0000"/>
      <name val="Times New Roman"/>
      <family val="1"/>
    </font>
    <font>
      <b/>
      <sz val="11"/>
      <color rgb="FFFF0000"/>
      <name val="Times New Roman"/>
      <family val="1"/>
    </font>
    <font>
      <b/>
      <sz val="14"/>
      <color rgb="FFFF0000"/>
      <name val="Times New Roman"/>
      <family val="1"/>
    </font>
    <font>
      <b/>
      <sz val="6"/>
      <color rgb="FFFF0000"/>
      <name val="Times New Roman"/>
      <family val="1"/>
    </font>
    <font>
      <b/>
      <sz val="18"/>
      <color rgb="FFFF0000"/>
      <name val="Times New Roman"/>
      <family val="1"/>
    </font>
    <font>
      <sz val="10"/>
      <name val="Times New Roman"/>
      <family val="1"/>
    </font>
    <font>
      <b/>
      <sz val="20"/>
      <name val="Cambria"/>
      <family val="1"/>
    </font>
    <font>
      <sz val="8"/>
      <name val="Cambria"/>
      <family val="1"/>
    </font>
    <font>
      <b/>
      <sz val="8"/>
      <name val="Cambria"/>
      <family val="1"/>
    </font>
    <font>
      <i/>
      <sz val="8"/>
      <name val="Cambria"/>
      <family val="1"/>
    </font>
    <font>
      <sz val="8"/>
      <color rgb="FFFF0000"/>
      <name val="Cambria"/>
      <family val="1"/>
    </font>
    <font>
      <b/>
      <sz val="10"/>
      <name val="Cambria"/>
      <family val="1"/>
    </font>
    <font>
      <b/>
      <sz val="14"/>
      <name val="Cambria"/>
      <family val="1"/>
    </font>
    <font>
      <b/>
      <sz val="8"/>
      <color rgb="FFFF0000"/>
      <name val="Cambria"/>
      <family val="1"/>
    </font>
    <font>
      <b/>
      <i/>
      <sz val="10"/>
      <name val="Cambria"/>
      <family val="1"/>
    </font>
    <font>
      <b/>
      <i/>
      <sz val="8"/>
      <name val="Cambria"/>
      <family val="1"/>
    </font>
    <font>
      <b/>
      <i/>
      <sz val="11"/>
      <color theme="1"/>
      <name val="Calibri"/>
      <family val="2"/>
      <scheme val="minor"/>
    </font>
    <font>
      <b/>
      <sz val="11"/>
      <name val="Cambria"/>
      <family val="1"/>
    </font>
    <font>
      <vertAlign val="superscript"/>
      <sz val="11"/>
      <color theme="1"/>
      <name val="Times New Roman"/>
      <family val="1"/>
    </font>
    <font>
      <b/>
      <sz val="12"/>
      <name val="Cambria"/>
      <family val="1"/>
    </font>
    <font>
      <sz val="12"/>
      <name val="Cambria"/>
      <family val="1"/>
    </font>
    <font>
      <sz val="12"/>
      <color theme="1"/>
      <name val="Times New Roman"/>
      <family val="1"/>
    </font>
    <font>
      <sz val="11"/>
      <color rgb="FF00B050"/>
      <name val="Times New Roman"/>
      <family val="1"/>
    </font>
  </fonts>
  <fills count="18">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F2F2F2"/>
        <bgColor rgb="FF000000"/>
      </patternFill>
    </fill>
    <fill>
      <patternFill patternType="solid">
        <fgColor rgb="FFEEECE1"/>
        <bgColor rgb="FF000000"/>
      </patternFill>
    </fill>
    <fill>
      <patternFill patternType="solid">
        <fgColor theme="0"/>
        <bgColor indexed="64"/>
      </patternFill>
    </fill>
    <fill>
      <patternFill patternType="solid">
        <fgColor theme="0"/>
        <bgColor rgb="FF000000"/>
      </patternFill>
    </fill>
    <fill>
      <patternFill patternType="solid">
        <fgColor theme="0"/>
        <bgColor theme="4"/>
      </patternFill>
    </fill>
    <fill>
      <patternFill patternType="solid">
        <fgColor theme="0"/>
        <bgColor theme="4" tint="0.79998168889431442"/>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bgColor indexed="64"/>
      </patternFill>
    </fill>
    <fill>
      <patternFill patternType="solid">
        <fgColor theme="3"/>
        <bgColor indexed="64"/>
      </patternFill>
    </fill>
    <fill>
      <patternFill patternType="solid">
        <fgColor theme="1"/>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thin">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style="medium">
        <color indexed="64"/>
      </left>
      <right style="medium">
        <color indexed="64"/>
      </right>
      <top style="medium">
        <color indexed="64"/>
      </top>
      <bottom style="thin">
        <color rgb="FFFFFFFF"/>
      </bottom>
      <diagonal/>
    </border>
    <border>
      <left style="medium">
        <color indexed="64"/>
      </left>
      <right style="medium">
        <color indexed="64"/>
      </right>
      <top style="thin">
        <color rgb="FFFFFFFF"/>
      </top>
      <bottom style="thin">
        <color rgb="FFFFFFFF"/>
      </bottom>
      <diagonal/>
    </border>
    <border>
      <left style="thin">
        <color indexed="64"/>
      </left>
      <right style="thin">
        <color indexed="64"/>
      </right>
      <top style="thin">
        <color indexed="64"/>
      </top>
      <bottom style="thin">
        <color rgb="FFFFFFFF"/>
      </bottom>
      <diagonal/>
    </border>
    <border>
      <left style="thin">
        <color indexed="64"/>
      </left>
      <right style="medium">
        <color indexed="64"/>
      </right>
      <top style="thin">
        <color indexed="64"/>
      </top>
      <bottom style="thin">
        <color rgb="FFFFFFFF"/>
      </bottom>
      <diagonal/>
    </border>
    <border>
      <left style="thin">
        <color indexed="64"/>
      </left>
      <right style="thin">
        <color indexed="64"/>
      </right>
      <top style="thin">
        <color rgb="FFFFFFFF"/>
      </top>
      <bottom style="thin">
        <color indexed="64"/>
      </bottom>
      <diagonal/>
    </border>
    <border>
      <left style="thin">
        <color indexed="64"/>
      </left>
      <right style="medium">
        <color indexed="64"/>
      </right>
      <top style="thin">
        <color rgb="FFFFFFFF"/>
      </top>
      <bottom style="thin">
        <color indexed="64"/>
      </bottom>
      <diagonal/>
    </border>
    <border>
      <left style="medium">
        <color indexed="64"/>
      </left>
      <right style="medium">
        <color indexed="64"/>
      </right>
      <top style="thin">
        <color rgb="FFFFFFFF"/>
      </top>
      <bottom style="medium">
        <color indexed="64"/>
      </bottom>
      <diagonal/>
    </border>
    <border>
      <left style="medium">
        <color indexed="64"/>
      </left>
      <right style="thin">
        <color rgb="FFFFFFFF"/>
      </right>
      <top style="medium">
        <color indexed="64"/>
      </top>
      <bottom style="medium">
        <color indexed="64"/>
      </bottom>
      <diagonal/>
    </border>
    <border>
      <left style="thin">
        <color rgb="FFFFFFFF"/>
      </left>
      <right style="thin">
        <color rgb="FFFFFFFF"/>
      </right>
      <top style="medium">
        <color indexed="64"/>
      </top>
      <bottom style="medium">
        <color indexed="64"/>
      </bottom>
      <diagonal/>
    </border>
    <border>
      <left style="thin">
        <color rgb="FFFFFFFF"/>
      </left>
      <right style="medium">
        <color indexed="64"/>
      </right>
      <top style="medium">
        <color indexed="64"/>
      </top>
      <bottom style="medium">
        <color indexed="64"/>
      </bottom>
      <diagonal/>
    </border>
    <border>
      <left style="thin">
        <color indexed="64"/>
      </left>
      <right style="thin">
        <color indexed="64"/>
      </right>
      <top style="thin">
        <color rgb="FFFFFFFF"/>
      </top>
      <bottom style="medium">
        <color indexed="64"/>
      </bottom>
      <diagonal/>
    </border>
    <border>
      <left style="thin">
        <color indexed="64"/>
      </left>
      <right style="medium">
        <color indexed="64"/>
      </right>
      <top style="thin">
        <color rgb="FFFFFFFF"/>
      </top>
      <bottom style="medium">
        <color indexed="64"/>
      </bottom>
      <diagonal/>
    </border>
    <border>
      <left style="thin">
        <color rgb="FFFFFFFF"/>
      </left>
      <right style="thin">
        <color rgb="FFFFFFFF"/>
      </right>
      <top/>
      <bottom style="thin">
        <color rgb="FFFFFFFF"/>
      </bottom>
      <diagonal/>
    </border>
    <border>
      <left style="thin">
        <color rgb="FFFFFFFF"/>
      </left>
      <right style="thin">
        <color rgb="FFFFFFFF"/>
      </right>
      <top style="medium">
        <color indexed="64"/>
      </top>
      <bottom/>
      <diagonal/>
    </border>
    <border>
      <left style="thin">
        <color rgb="FFFFFFFF"/>
      </left>
      <right style="medium">
        <color indexed="64"/>
      </right>
      <top style="medium">
        <color indexed="64"/>
      </top>
      <bottom/>
      <diagonal/>
    </border>
    <border>
      <left style="thin">
        <color rgb="FFFFFFFF"/>
      </left>
      <right/>
      <top style="thin">
        <color rgb="FFFFFFFF"/>
      </top>
      <bottom style="thin">
        <color rgb="FFFFFFFF"/>
      </bottom>
      <diagonal/>
    </border>
    <border>
      <left style="thin">
        <color indexed="64"/>
      </left>
      <right style="medium">
        <color indexed="64"/>
      </right>
      <top style="medium">
        <color indexed="64"/>
      </top>
      <bottom/>
      <diagonal/>
    </border>
    <border diagonalDown="1">
      <left style="medium">
        <color indexed="64"/>
      </left>
      <right style="medium">
        <color indexed="64"/>
      </right>
      <top style="medium">
        <color indexed="64"/>
      </top>
      <bottom style="medium">
        <color indexed="64"/>
      </bottom>
      <diagonal style="thin">
        <color indexed="64"/>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0"/>
      </left>
      <right style="thin">
        <color theme="0"/>
      </right>
      <top/>
      <bottom/>
      <diagonal/>
    </border>
    <border>
      <left/>
      <right style="thin">
        <color indexed="64"/>
      </right>
      <top style="medium">
        <color indexed="64"/>
      </top>
      <bottom style="medium">
        <color indexed="64"/>
      </bottom>
      <diagonal/>
    </border>
    <border>
      <left style="thin">
        <color theme="0"/>
      </left>
      <right/>
      <top style="medium">
        <color indexed="64"/>
      </top>
      <bottom style="medium">
        <color indexed="64"/>
      </bottom>
      <diagonal/>
    </border>
    <border>
      <left/>
      <right style="thin">
        <color rgb="FFFFFFFF"/>
      </right>
      <top/>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bottom style="double">
        <color indexed="64"/>
      </bottom>
      <diagonal/>
    </border>
  </borders>
  <cellStyleXfs count="3">
    <xf numFmtId="0" fontId="0" fillId="0" borderId="0"/>
    <xf numFmtId="9" fontId="9" fillId="0" borderId="0" applyFont="0" applyFill="0" applyBorder="0" applyAlignment="0" applyProtection="0"/>
    <xf numFmtId="0" fontId="9" fillId="0" borderId="0"/>
  </cellStyleXfs>
  <cellXfs count="615">
    <xf numFmtId="0" fontId="0" fillId="0" borderId="0" xfId="0"/>
    <xf numFmtId="0" fontId="0" fillId="0" borderId="1" xfId="0" applyBorder="1"/>
    <xf numFmtId="0" fontId="0" fillId="0" borderId="1" xfId="0" applyBorder="1" applyAlignment="1">
      <alignment horizontal="center"/>
    </xf>
    <xf numFmtId="0" fontId="3" fillId="0" borderId="5" xfId="0" applyFont="1" applyBorder="1" applyAlignment="1">
      <alignment horizontal="center"/>
    </xf>
    <xf numFmtId="0" fontId="3" fillId="0" borderId="9" xfId="0" applyFont="1" applyBorder="1" applyAlignment="1">
      <alignment horizontal="center"/>
    </xf>
    <xf numFmtId="0" fontId="3" fillId="0" borderId="19" xfId="0" applyFont="1" applyBorder="1" applyAlignment="1">
      <alignment horizontal="center"/>
    </xf>
    <xf numFmtId="0" fontId="1" fillId="0" borderId="1" xfId="0" applyFont="1" applyBorder="1"/>
    <xf numFmtId="0" fontId="4" fillId="0" borderId="1" xfId="0" applyFont="1" applyBorder="1" applyAlignment="1">
      <alignment horizontal="center" vertical="center"/>
    </xf>
    <xf numFmtId="0" fontId="5" fillId="0" borderId="0" xfId="0" applyFont="1"/>
    <xf numFmtId="0" fontId="11" fillId="0" borderId="45" xfId="0" applyFont="1" applyBorder="1" applyAlignment="1">
      <alignment horizontal="center"/>
    </xf>
    <xf numFmtId="0" fontId="11" fillId="0" borderId="12" xfId="0" applyFont="1" applyBorder="1" applyAlignment="1">
      <alignment horizontal="center"/>
    </xf>
    <xf numFmtId="0" fontId="11" fillId="0" borderId="16" xfId="0" applyFont="1" applyBorder="1" applyAlignment="1">
      <alignment horizontal="center"/>
    </xf>
    <xf numFmtId="0" fontId="11" fillId="0" borderId="15" xfId="0" applyFont="1" applyBorder="1" applyAlignment="1">
      <alignment horizontal="center"/>
    </xf>
    <xf numFmtId="0" fontId="11" fillId="0" borderId="10" xfId="0" applyFont="1" applyBorder="1" applyAlignment="1">
      <alignment horizontal="center"/>
    </xf>
    <xf numFmtId="0" fontId="11" fillId="0" borderId="1" xfId="0" applyFont="1" applyBorder="1" applyAlignment="1">
      <alignment horizontal="center"/>
    </xf>
    <xf numFmtId="0" fontId="12" fillId="0" borderId="28" xfId="0" applyFont="1" applyBorder="1" applyAlignment="1">
      <alignment horizontal="center"/>
    </xf>
    <xf numFmtId="0" fontId="12" fillId="0" borderId="24" xfId="0" applyFont="1" applyBorder="1" applyAlignment="1">
      <alignment horizontal="center"/>
    </xf>
    <xf numFmtId="0" fontId="12" fillId="0" borderId="10" xfId="0" applyFont="1" applyBorder="1" applyAlignment="1">
      <alignment horizontal="center"/>
    </xf>
    <xf numFmtId="0" fontId="12" fillId="0" borderId="1" xfId="0" applyFont="1"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11" fillId="0" borderId="13" xfId="0" applyFont="1" applyBorder="1" applyAlignment="1">
      <alignment horizontal="center"/>
    </xf>
    <xf numFmtId="0" fontId="11" fillId="0" borderId="28" xfId="0" applyFont="1" applyBorder="1" applyAlignment="1">
      <alignment horizontal="center"/>
    </xf>
    <xf numFmtId="0" fontId="11" fillId="0" borderId="24" xfId="0" applyFont="1" applyBorder="1" applyAlignment="1">
      <alignment horizontal="center"/>
    </xf>
    <xf numFmtId="0" fontId="14" fillId="0" borderId="66" xfId="0" applyFont="1" applyBorder="1"/>
    <xf numFmtId="0" fontId="14" fillId="0" borderId="67" xfId="0" applyFont="1" applyBorder="1"/>
    <xf numFmtId="0" fontId="14" fillId="0" borderId="12" xfId="0" applyFont="1" applyBorder="1"/>
    <xf numFmtId="0" fontId="11" fillId="0" borderId="70" xfId="0" applyFont="1" applyBorder="1" applyAlignment="1">
      <alignment horizontal="center"/>
    </xf>
    <xf numFmtId="0" fontId="11" fillId="0" borderId="71" xfId="0" applyFont="1" applyBorder="1" applyAlignment="1">
      <alignment horizontal="center"/>
    </xf>
    <xf numFmtId="0" fontId="11" fillId="0" borderId="72" xfId="0" applyFont="1" applyBorder="1" applyAlignment="1">
      <alignment horizontal="center"/>
    </xf>
    <xf numFmtId="0" fontId="14" fillId="0" borderId="9" xfId="0" applyFont="1" applyBorder="1" applyAlignment="1">
      <alignment horizontal="center"/>
    </xf>
    <xf numFmtId="0" fontId="17" fillId="0" borderId="1" xfId="0" applyFont="1" applyBorder="1" applyAlignment="1">
      <alignment horizontal="center"/>
    </xf>
    <xf numFmtId="0" fontId="17" fillId="0" borderId="72" xfId="0" applyFont="1" applyBorder="1" applyAlignment="1">
      <alignment horizontal="center"/>
    </xf>
    <xf numFmtId="0" fontId="11" fillId="0" borderId="73" xfId="0" applyFont="1" applyBorder="1" applyAlignment="1">
      <alignment horizontal="center"/>
    </xf>
    <xf numFmtId="0" fontId="17" fillId="0" borderId="70" xfId="0" applyFont="1" applyBorder="1" applyAlignment="1">
      <alignment horizontal="center"/>
    </xf>
    <xf numFmtId="0" fontId="14" fillId="0" borderId="20" xfId="0" applyFont="1" applyBorder="1"/>
    <xf numFmtId="0" fontId="14" fillId="0" borderId="75" xfId="0" applyFont="1" applyBorder="1"/>
    <xf numFmtId="0" fontId="14" fillId="0" borderId="76" xfId="0" applyFont="1" applyBorder="1"/>
    <xf numFmtId="0" fontId="14" fillId="0" borderId="77" xfId="0" applyFont="1" applyBorder="1"/>
    <xf numFmtId="0" fontId="14" fillId="0" borderId="60" xfId="0" applyFont="1" applyBorder="1" applyAlignment="1">
      <alignment horizontal="center"/>
    </xf>
    <xf numFmtId="0" fontId="14" fillId="0" borderId="41" xfId="0" applyFont="1" applyBorder="1" applyAlignment="1">
      <alignment horizontal="center"/>
    </xf>
    <xf numFmtId="0" fontId="14" fillId="0" borderId="70" xfId="0" applyFont="1" applyBorder="1"/>
    <xf numFmtId="0" fontId="14" fillId="0" borderId="78" xfId="0" applyFont="1" applyBorder="1"/>
    <xf numFmtId="0" fontId="14" fillId="0" borderId="45" xfId="0" applyFont="1" applyBorder="1"/>
    <xf numFmtId="0" fontId="11" fillId="0" borderId="78" xfId="0" applyFont="1" applyBorder="1" applyAlignment="1">
      <alignment horizontal="center"/>
    </xf>
    <xf numFmtId="0" fontId="11" fillId="0" borderId="79" xfId="0" applyFont="1" applyBorder="1" applyAlignment="1">
      <alignment horizontal="center"/>
    </xf>
    <xf numFmtId="0" fontId="14" fillId="0" borderId="80" xfId="0" applyFont="1" applyBorder="1"/>
    <xf numFmtId="0" fontId="14" fillId="0" borderId="81" xfId="0" applyFont="1" applyBorder="1"/>
    <xf numFmtId="0" fontId="14" fillId="0" borderId="82" xfId="0" applyFont="1" applyBorder="1"/>
    <xf numFmtId="0" fontId="14" fillId="0" borderId="5" xfId="0" applyFont="1" applyBorder="1" applyAlignment="1">
      <alignment horizontal="center" vertical="center"/>
    </xf>
    <xf numFmtId="0" fontId="14" fillId="0" borderId="66" xfId="0" applyFont="1" applyBorder="1" applyAlignment="1">
      <alignment horizontal="center"/>
    </xf>
    <xf numFmtId="0" fontId="11" fillId="0" borderId="80" xfId="0" applyFont="1" applyBorder="1" applyAlignment="1">
      <alignment horizontal="center"/>
    </xf>
    <xf numFmtId="0" fontId="3" fillId="0" borderId="1" xfId="0" applyFont="1" applyBorder="1" applyAlignment="1">
      <alignment horizontal="center"/>
    </xf>
    <xf numFmtId="0" fontId="6" fillId="0" borderId="85" xfId="0" applyFont="1" applyBorder="1" applyAlignment="1">
      <alignment vertical="top" wrapText="1"/>
    </xf>
    <xf numFmtId="0" fontId="6" fillId="0" borderId="86" xfId="0" applyFont="1" applyBorder="1" applyAlignment="1">
      <alignment horizontal="center" vertical="center" wrapText="1"/>
    </xf>
    <xf numFmtId="0" fontId="6" fillId="0" borderId="84" xfId="0" applyFont="1" applyBorder="1" applyAlignment="1">
      <alignment horizontal="center" vertical="center" wrapText="1"/>
    </xf>
    <xf numFmtId="0" fontId="6" fillId="0" borderId="53" xfId="0" applyFont="1" applyBorder="1" applyAlignment="1">
      <alignment horizontal="center" vertical="center"/>
    </xf>
    <xf numFmtId="0" fontId="7" fillId="0" borderId="9" xfId="0" applyFont="1" applyBorder="1" applyAlignment="1">
      <alignment horizontal="center" vertical="center"/>
    </xf>
    <xf numFmtId="0" fontId="7" fillId="0" borderId="1" xfId="0" applyFont="1" applyBorder="1" applyAlignment="1">
      <alignment horizontal="center" vertical="center"/>
    </xf>
    <xf numFmtId="0" fontId="7" fillId="0" borderId="10" xfId="0" applyFont="1" applyBorder="1" applyAlignment="1">
      <alignment horizontal="center" vertical="center"/>
    </xf>
    <xf numFmtId="0" fontId="6" fillId="0" borderId="50" xfId="0" applyFont="1" applyBorder="1" applyAlignment="1">
      <alignment horizontal="center" vertical="center"/>
    </xf>
    <xf numFmtId="0" fontId="7" fillId="0" borderId="19" xfId="0" applyFont="1" applyBorder="1" applyAlignment="1">
      <alignment horizontal="center" vertical="center"/>
    </xf>
    <xf numFmtId="0" fontId="7" fillId="0" borderId="24" xfId="0" applyFont="1" applyBorder="1" applyAlignment="1">
      <alignment horizontal="center" vertical="center"/>
    </xf>
    <xf numFmtId="0" fontId="7" fillId="0" borderId="28" xfId="0" applyFont="1" applyBorder="1" applyAlignment="1">
      <alignment horizontal="center" vertical="center"/>
    </xf>
    <xf numFmtId="0" fontId="0" fillId="0" borderId="1" xfId="0" applyBorder="1" applyAlignment="1">
      <alignment horizontal="center"/>
    </xf>
    <xf numFmtId="0" fontId="3" fillId="0" borderId="26" xfId="0" applyFont="1" applyBorder="1" applyAlignment="1">
      <alignment horizontal="center" vertical="center"/>
    </xf>
    <xf numFmtId="0" fontId="3" fillId="0" borderId="0" xfId="0" applyFont="1"/>
    <xf numFmtId="0" fontId="12" fillId="0" borderId="18" xfId="0" applyFont="1" applyBorder="1" applyAlignment="1">
      <alignment horizontal="center" vertical="center"/>
    </xf>
    <xf numFmtId="0" fontId="3" fillId="0" borderId="27" xfId="0" applyFont="1" applyBorder="1" applyAlignment="1">
      <alignment horizontal="center"/>
    </xf>
    <xf numFmtId="0" fontId="3" fillId="0" borderId="41" xfId="0" applyFont="1" applyBorder="1" applyAlignment="1">
      <alignment horizontal="center"/>
    </xf>
    <xf numFmtId="0" fontId="3" fillId="0" borderId="15" xfId="0" applyFont="1" applyBorder="1" applyAlignment="1">
      <alignment horizontal="center" vertical="center"/>
    </xf>
    <xf numFmtId="0" fontId="3" fillId="0" borderId="16" xfId="0" applyFont="1" applyBorder="1" applyAlignment="1">
      <alignment horizontal="center"/>
    </xf>
    <xf numFmtId="0" fontId="3" fillId="0" borderId="10" xfId="0" applyFont="1" applyBorder="1" applyAlignment="1">
      <alignment horizontal="center"/>
    </xf>
    <xf numFmtId="0" fontId="3" fillId="0" borderId="24" xfId="0" applyFont="1" applyBorder="1" applyAlignment="1">
      <alignment horizontal="center"/>
    </xf>
    <xf numFmtId="0" fontId="3" fillId="0" borderId="28" xfId="0" applyFont="1" applyBorder="1" applyAlignment="1">
      <alignment horizontal="center"/>
    </xf>
    <xf numFmtId="0" fontId="2" fillId="4" borderId="20" xfId="0" applyFont="1" applyFill="1" applyBorder="1"/>
    <xf numFmtId="9" fontId="3" fillId="0" borderId="5" xfId="0" applyNumberFormat="1" applyFont="1" applyBorder="1" applyAlignment="1">
      <alignment horizontal="left" indent="2"/>
    </xf>
    <xf numFmtId="0" fontId="3" fillId="0" borderId="7" xfId="0" applyFont="1" applyBorder="1" applyAlignment="1">
      <alignment horizontal="center"/>
    </xf>
    <xf numFmtId="9" fontId="3" fillId="0" borderId="9" xfId="0" applyNumberFormat="1" applyFont="1" applyBorder="1" applyAlignment="1">
      <alignment horizontal="left" indent="2"/>
    </xf>
    <xf numFmtId="0" fontId="3" fillId="0" borderId="26" xfId="0" applyFont="1" applyBorder="1" applyAlignment="1">
      <alignment horizontal="center"/>
    </xf>
    <xf numFmtId="0" fontId="3" fillId="0" borderId="13" xfId="0" applyFont="1" applyBorder="1" applyAlignment="1">
      <alignment horizontal="center"/>
    </xf>
    <xf numFmtId="0" fontId="20" fillId="0" borderId="0" xfId="0" applyFont="1"/>
    <xf numFmtId="0" fontId="10" fillId="0" borderId="0" xfId="0" applyFont="1"/>
    <xf numFmtId="0" fontId="2" fillId="0" borderId="20" xfId="0" applyFont="1" applyBorder="1"/>
    <xf numFmtId="0" fontId="3" fillId="0" borderId="8" xfId="0" applyFont="1" applyBorder="1" applyAlignment="1">
      <alignment horizontal="center"/>
    </xf>
    <xf numFmtId="0" fontId="3" fillId="0" borderId="17" xfId="0" applyFont="1" applyBorder="1" applyAlignment="1">
      <alignment horizontal="center"/>
    </xf>
    <xf numFmtId="0" fontId="3" fillId="0" borderId="64" xfId="0" applyFont="1" applyBorder="1" applyAlignment="1">
      <alignment horizontal="center"/>
    </xf>
    <xf numFmtId="9" fontId="3" fillId="0" borderId="26" xfId="0" applyNumberFormat="1" applyFont="1" applyBorder="1" applyAlignment="1">
      <alignment horizontal="left" indent="2"/>
    </xf>
    <xf numFmtId="0" fontId="3" fillId="0" borderId="87" xfId="0" applyFont="1" applyBorder="1" applyAlignment="1">
      <alignment horizontal="center"/>
    </xf>
    <xf numFmtId="0" fontId="3" fillId="0" borderId="63" xfId="0" applyFont="1" applyBorder="1" applyAlignment="1">
      <alignment horizontal="center"/>
    </xf>
    <xf numFmtId="0" fontId="3" fillId="0" borderId="89" xfId="0" applyFont="1" applyBorder="1"/>
    <xf numFmtId="0" fontId="3" fillId="0" borderId="87" xfId="0" applyFont="1" applyBorder="1" applyAlignment="1">
      <alignment horizontal="center" vertical="center"/>
    </xf>
    <xf numFmtId="0" fontId="3" fillId="0" borderId="88" xfId="0" applyFont="1" applyBorder="1" applyAlignment="1">
      <alignment horizontal="center" vertical="center"/>
    </xf>
    <xf numFmtId="0" fontId="3" fillId="0" borderId="0" xfId="0" applyFont="1" applyBorder="1"/>
    <xf numFmtId="9" fontId="3" fillId="0" borderId="0" xfId="0" applyNumberFormat="1" applyFont="1" applyBorder="1" applyAlignment="1">
      <alignment horizontal="right"/>
    </xf>
    <xf numFmtId="0" fontId="3" fillId="0" borderId="61" xfId="0" applyFont="1" applyBorder="1" applyAlignment="1">
      <alignment horizont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38" xfId="0" applyFont="1" applyBorder="1" applyAlignment="1">
      <alignment horizontal="center" vertical="center"/>
    </xf>
    <xf numFmtId="9" fontId="3" fillId="0" borderId="87" xfId="0" applyNumberFormat="1" applyFont="1" applyBorder="1" applyAlignment="1">
      <alignment horizontal="left" indent="3"/>
    </xf>
    <xf numFmtId="9" fontId="3" fillId="0" borderId="63" xfId="0" applyNumberFormat="1" applyFont="1" applyBorder="1" applyAlignment="1">
      <alignment horizontal="left" indent="3"/>
    </xf>
    <xf numFmtId="9" fontId="3" fillId="0" borderId="38" xfId="0" applyNumberFormat="1" applyFont="1" applyBorder="1" applyAlignment="1">
      <alignment horizontal="left" indent="3"/>
    </xf>
    <xf numFmtId="9" fontId="3" fillId="0" borderId="88" xfId="0" applyNumberFormat="1" applyFont="1" applyBorder="1" applyAlignment="1">
      <alignment horizontal="left" indent="3"/>
    </xf>
    <xf numFmtId="0" fontId="3" fillId="0" borderId="63" xfId="0" applyFont="1" applyBorder="1" applyAlignment="1">
      <alignment horizontal="center" vertical="center"/>
    </xf>
    <xf numFmtId="164" fontId="3" fillId="0" borderId="26" xfId="0" applyNumberFormat="1" applyFont="1" applyBorder="1" applyAlignment="1">
      <alignment horizontal="left" vertical="center" indent="2"/>
    </xf>
    <xf numFmtId="0" fontId="2" fillId="2" borderId="2"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62" xfId="0" applyFont="1" applyFill="1" applyBorder="1" applyAlignment="1">
      <alignment horizontal="center" vertical="center" wrapText="1"/>
    </xf>
    <xf numFmtId="0" fontId="2" fillId="0" borderId="20" xfId="0" applyFont="1" applyBorder="1" applyAlignment="1">
      <alignment horizontal="center" vertical="center" wrapText="1"/>
    </xf>
    <xf numFmtId="0" fontId="3" fillId="0" borderId="0" xfId="0" applyFont="1" applyAlignment="1">
      <alignment horizontal="center" vertical="center" wrapText="1"/>
    </xf>
    <xf numFmtId="164" fontId="3" fillId="0" borderId="27" xfId="0" applyNumberFormat="1" applyFont="1" applyBorder="1" applyAlignment="1">
      <alignment horizontal="left" indent="2"/>
    </xf>
    <xf numFmtId="164" fontId="3" fillId="0" borderId="9" xfId="0" applyNumberFormat="1" applyFont="1" applyBorder="1" applyAlignment="1">
      <alignment horizontal="left" indent="2"/>
    </xf>
    <xf numFmtId="164" fontId="12" fillId="0" borderId="9" xfId="0" applyNumberFormat="1" applyFont="1" applyBorder="1" applyAlignment="1">
      <alignment horizontal="left" indent="2"/>
    </xf>
    <xf numFmtId="164" fontId="3" fillId="0" borderId="19" xfId="0" applyNumberFormat="1" applyFont="1" applyBorder="1" applyAlignment="1">
      <alignment horizontal="left" indent="2"/>
    </xf>
    <xf numFmtId="0" fontId="2" fillId="2" borderId="21" xfId="0" applyFont="1" applyFill="1" applyBorder="1" applyAlignment="1">
      <alignment vertical="center" wrapText="1"/>
    </xf>
    <xf numFmtId="0" fontId="3" fillId="0" borderId="0" xfId="0" applyFont="1" applyAlignment="1">
      <alignment vertical="center" wrapText="1"/>
    </xf>
    <xf numFmtId="0" fontId="3" fillId="0" borderId="19" xfId="0" applyFont="1" applyBorder="1" applyAlignment="1">
      <alignment horizontal="center" vertical="center" wrapText="1"/>
    </xf>
    <xf numFmtId="0" fontId="3" fillId="0" borderId="28" xfId="0" applyFont="1" applyBorder="1" applyAlignment="1">
      <alignment horizontal="center" vertical="center" wrapText="1"/>
    </xf>
    <xf numFmtId="0" fontId="2" fillId="4" borderId="20" xfId="0" applyFont="1" applyFill="1" applyBorder="1" applyAlignment="1">
      <alignment vertical="center" wrapText="1"/>
    </xf>
    <xf numFmtId="9" fontId="3" fillId="0" borderId="19" xfId="0" applyNumberFormat="1" applyFont="1" applyBorder="1" applyAlignment="1">
      <alignment horizontal="left" vertical="center" wrapText="1" indent="2"/>
    </xf>
    <xf numFmtId="0" fontId="23" fillId="0" borderId="0" xfId="0" applyFont="1" applyAlignment="1">
      <alignment horizontal="left" vertical="center" readingOrder="1"/>
    </xf>
    <xf numFmtId="0" fontId="24" fillId="0" borderId="0" xfId="0" applyFont="1" applyAlignment="1">
      <alignment horizontal="left" vertical="center" readingOrder="1"/>
    </xf>
    <xf numFmtId="0" fontId="0" fillId="0" borderId="0" xfId="0" applyAlignment="1">
      <alignment wrapText="1"/>
    </xf>
    <xf numFmtId="0" fontId="0" fillId="0" borderId="0" xfId="0" applyAlignment="1">
      <alignment vertical="center" wrapText="1"/>
    </xf>
    <xf numFmtId="0" fontId="1" fillId="0" borderId="0" xfId="0" applyFont="1"/>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1" fillId="0" borderId="0" xfId="0" applyFont="1" applyAlignment="1">
      <alignment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62" xfId="0" applyFont="1" applyFill="1" applyBorder="1" applyAlignment="1">
      <alignment horizontal="center" vertical="center" wrapText="1"/>
    </xf>
    <xf numFmtId="0" fontId="27" fillId="5" borderId="29" xfId="0" applyFont="1" applyFill="1" applyBorder="1" applyAlignment="1">
      <alignment horizontal="center" vertical="center" wrapText="1"/>
    </xf>
    <xf numFmtId="0" fontId="28" fillId="5" borderId="20" xfId="0" applyFont="1" applyFill="1" applyBorder="1" applyAlignment="1">
      <alignment horizontal="center" vertical="center" wrapText="1"/>
    </xf>
    <xf numFmtId="0" fontId="0" fillId="0" borderId="0" xfId="0" applyAlignment="1">
      <alignment horizontal="center" vertical="center" wrapText="1"/>
    </xf>
    <xf numFmtId="0" fontId="21" fillId="2" borderId="2" xfId="0" applyFont="1" applyFill="1" applyBorder="1" applyAlignment="1">
      <alignment horizontal="center" vertical="center" wrapText="1"/>
    </xf>
    <xf numFmtId="0" fontId="14" fillId="0" borderId="87" xfId="0" applyFont="1" applyBorder="1" applyAlignment="1">
      <alignment horizontal="center"/>
    </xf>
    <xf numFmtId="0" fontId="14" fillId="0" borderId="63" xfId="0" applyFont="1" applyBorder="1" applyAlignment="1">
      <alignment horizontal="center"/>
    </xf>
    <xf numFmtId="0" fontId="14" fillId="0" borderId="88" xfId="0" applyFont="1" applyBorder="1" applyAlignment="1">
      <alignment horizontal="center"/>
    </xf>
    <xf numFmtId="0" fontId="12" fillId="0" borderId="41" xfId="0" applyFont="1" applyBorder="1" applyAlignment="1">
      <alignment horizontal="center" vertical="center"/>
    </xf>
    <xf numFmtId="0" fontId="14" fillId="0" borderId="29" xfId="0" applyFont="1" applyBorder="1"/>
    <xf numFmtId="0" fontId="14" fillId="0" borderId="92" xfId="0" applyFont="1" applyBorder="1"/>
    <xf numFmtId="0" fontId="15" fillId="5" borderId="2" xfId="0" applyFont="1" applyFill="1" applyBorder="1" applyAlignment="1">
      <alignment horizontal="center" vertical="center" wrapText="1"/>
    </xf>
    <xf numFmtId="0" fontId="29" fillId="5" borderId="3" xfId="0" applyFont="1" applyFill="1" applyBorder="1" applyAlignment="1">
      <alignment horizontal="center" vertical="center" wrapText="1"/>
    </xf>
    <xf numFmtId="0" fontId="4" fillId="0" borderId="1" xfId="0" applyFont="1" applyBorder="1" applyAlignment="1">
      <alignment horizontal="left" vertical="center"/>
    </xf>
    <xf numFmtId="0" fontId="3" fillId="0" borderId="1" xfId="0" applyFont="1" applyBorder="1" applyAlignment="1">
      <alignment horizontal="left" indent="2"/>
    </xf>
    <xf numFmtId="0" fontId="3" fillId="0" borderId="0" xfId="0" applyFont="1" applyAlignment="1">
      <alignment horizontal="left" indent="2"/>
    </xf>
    <xf numFmtId="0" fontId="2" fillId="0" borderId="1" xfId="0" applyFont="1" applyBorder="1" applyAlignment="1">
      <alignment horizontal="center" vertical="center" wrapText="1"/>
    </xf>
    <xf numFmtId="0" fontId="2" fillId="0" borderId="33" xfId="0" applyFont="1" applyBorder="1" applyAlignment="1">
      <alignment horizontal="center" vertical="center" wrapText="1"/>
    </xf>
    <xf numFmtId="0" fontId="0" fillId="7" borderId="0" xfId="0" applyFill="1"/>
    <xf numFmtId="0" fontId="2" fillId="0" borderId="0" xfId="0" applyFont="1" applyAlignment="1">
      <alignment horizontal="center" vertical="center"/>
    </xf>
    <xf numFmtId="0" fontId="2" fillId="7" borderId="0" xfId="0" applyFont="1" applyFill="1" applyAlignment="1">
      <alignment vertical="center"/>
    </xf>
    <xf numFmtId="0" fontId="2" fillId="0" borderId="87" xfId="0" applyFont="1" applyBorder="1" applyAlignment="1">
      <alignment horizontal="left"/>
    </xf>
    <xf numFmtId="0" fontId="2" fillId="0" borderId="63" xfId="0" applyFont="1" applyBorder="1" applyAlignment="1">
      <alignment horizontal="left"/>
    </xf>
    <xf numFmtId="0" fontId="8" fillId="0" borderId="38" xfId="0" applyFont="1" applyBorder="1" applyAlignment="1">
      <alignment horizontal="left"/>
    </xf>
    <xf numFmtId="0" fontId="2" fillId="0" borderId="88" xfId="0" applyFont="1" applyBorder="1" applyAlignment="1">
      <alignment horizontal="left"/>
    </xf>
    <xf numFmtId="0" fontId="2" fillId="0" borderId="87" xfId="0" applyFont="1" applyBorder="1" applyAlignment="1">
      <alignment vertical="center"/>
    </xf>
    <xf numFmtId="0" fontId="2" fillId="0" borderId="25" xfId="0" applyFont="1" applyBorder="1" applyAlignment="1">
      <alignment horizontal="left"/>
    </xf>
    <xf numFmtId="0" fontId="8" fillId="0" borderId="87" xfId="0" applyFont="1" applyBorder="1" applyAlignment="1">
      <alignment horizontal="left" indent="2"/>
    </xf>
    <xf numFmtId="0" fontId="8" fillId="0" borderId="63" xfId="0" applyFont="1" applyBorder="1" applyAlignment="1">
      <alignment horizontal="left" indent="2"/>
    </xf>
    <xf numFmtId="0" fontId="8" fillId="0" borderId="88" xfId="0" applyFont="1" applyBorder="1" applyAlignment="1">
      <alignment horizontal="left" indent="2"/>
    </xf>
    <xf numFmtId="0" fontId="12" fillId="0" borderId="60" xfId="0" applyFont="1" applyBorder="1" applyAlignment="1">
      <alignment horizontal="center"/>
    </xf>
    <xf numFmtId="0" fontId="12" fillId="0" borderId="41" xfId="0" applyFont="1" applyBorder="1" applyAlignment="1">
      <alignment horizontal="center"/>
    </xf>
    <xf numFmtId="0" fontId="12" fillId="0" borderId="61" xfId="0" applyFont="1" applyBorder="1" applyAlignment="1">
      <alignment horizontal="center"/>
    </xf>
    <xf numFmtId="0" fontId="12" fillId="0" borderId="87" xfId="0" applyFont="1" applyBorder="1" applyAlignment="1">
      <alignment horizontal="center" vertical="top"/>
    </xf>
    <xf numFmtId="0" fontId="12" fillId="0" borderId="63" xfId="0" applyFont="1" applyBorder="1" applyAlignment="1">
      <alignment horizontal="center" vertical="top"/>
    </xf>
    <xf numFmtId="0" fontId="12" fillId="0" borderId="88" xfId="0" applyFont="1" applyBorder="1" applyAlignment="1">
      <alignment horizontal="center" vertical="top"/>
    </xf>
    <xf numFmtId="0" fontId="8" fillId="0" borderId="25" xfId="0" applyFont="1" applyBorder="1" applyAlignment="1">
      <alignment horizontal="left" indent="2"/>
    </xf>
    <xf numFmtId="0" fontId="12" fillId="0" borderId="25" xfId="0" applyFont="1" applyBorder="1" applyAlignment="1">
      <alignment horizontal="center" vertical="top"/>
    </xf>
    <xf numFmtId="0" fontId="12" fillId="0" borderId="64"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45" xfId="0" applyFont="1" applyBorder="1" applyAlignment="1">
      <alignment horizontal="center"/>
    </xf>
    <xf numFmtId="0" fontId="2" fillId="7" borderId="12" xfId="0" applyFont="1" applyFill="1" applyBorder="1" applyAlignment="1">
      <alignment horizontal="center" vertical="center"/>
    </xf>
    <xf numFmtId="0" fontId="2" fillId="0" borderId="12" xfId="0" applyFont="1" applyBorder="1" applyAlignment="1">
      <alignment horizontal="center" vertical="center" wrapText="1"/>
    </xf>
    <xf numFmtId="0" fontId="27" fillId="5" borderId="20" xfId="0" applyFont="1" applyFill="1" applyBorder="1" applyAlignment="1">
      <alignment horizontal="center" vertical="center" wrapText="1"/>
    </xf>
    <xf numFmtId="0" fontId="21" fillId="0" borderId="12" xfId="0" applyFont="1" applyBorder="1" applyAlignment="1">
      <alignment horizontal="center" vertical="center" wrapText="1"/>
    </xf>
    <xf numFmtId="0" fontId="3" fillId="0" borderId="18" xfId="0" applyFont="1" applyBorder="1" applyAlignment="1">
      <alignment horizontal="center" vertical="center"/>
    </xf>
    <xf numFmtId="9" fontId="3" fillId="0" borderId="37" xfId="1" applyFont="1" applyBorder="1" applyAlignment="1">
      <alignment vertical="center" wrapText="1"/>
    </xf>
    <xf numFmtId="9" fontId="3" fillId="0" borderId="36" xfId="1" applyFont="1" applyBorder="1" applyAlignment="1">
      <alignment vertical="center" wrapText="1"/>
    </xf>
    <xf numFmtId="9" fontId="3" fillId="0" borderId="39" xfId="1" applyFont="1" applyBorder="1" applyAlignment="1">
      <alignment vertical="center" wrapText="1"/>
    </xf>
    <xf numFmtId="0" fontId="3" fillId="0" borderId="36" xfId="0" applyFont="1" applyBorder="1" applyAlignment="1">
      <alignment vertical="center" wrapText="1"/>
    </xf>
    <xf numFmtId="9" fontId="3" fillId="0" borderId="34" xfId="1" applyFont="1" applyBorder="1" applyAlignment="1">
      <alignment vertical="center" wrapText="1"/>
    </xf>
    <xf numFmtId="0" fontId="3" fillId="0" borderId="87" xfId="0" applyFont="1" applyBorder="1" applyAlignment="1">
      <alignment vertical="center" wrapText="1"/>
    </xf>
    <xf numFmtId="9" fontId="3" fillId="0" borderId="63" xfId="1" applyFont="1" applyBorder="1" applyAlignment="1">
      <alignment vertical="center" wrapText="1"/>
    </xf>
    <xf numFmtId="0" fontId="3" fillId="0" borderId="63" xfId="0" applyFont="1" applyBorder="1" applyAlignment="1">
      <alignment vertical="center" wrapText="1"/>
    </xf>
    <xf numFmtId="9" fontId="3" fillId="0" borderId="88" xfId="1" applyFont="1" applyBorder="1" applyAlignment="1">
      <alignment vertical="center" wrapText="1"/>
    </xf>
    <xf numFmtId="0" fontId="3" fillId="0" borderId="51" xfId="0" applyFont="1" applyBorder="1" applyAlignment="1">
      <alignment vertical="center" wrapText="1"/>
    </xf>
    <xf numFmtId="0" fontId="3" fillId="0" borderId="36" xfId="0" applyFont="1" applyBorder="1" applyAlignment="1">
      <alignment horizontal="center" vertical="center"/>
    </xf>
    <xf numFmtId="0" fontId="3" fillId="0" borderId="39" xfId="0" applyFont="1" applyBorder="1" applyAlignment="1">
      <alignment horizontal="center" vertical="center" wrapText="1"/>
    </xf>
    <xf numFmtId="0" fontId="3" fillId="0" borderId="37" xfId="0" applyFont="1" applyBorder="1" applyAlignment="1">
      <alignment horizontal="center" vertical="center"/>
    </xf>
    <xf numFmtId="0" fontId="3" fillId="0" borderId="39" xfId="0" applyFont="1" applyBorder="1" applyAlignment="1">
      <alignment horizontal="center" vertical="center"/>
    </xf>
    <xf numFmtId="0" fontId="3" fillId="0" borderId="49" xfId="0" applyFont="1" applyBorder="1" applyAlignment="1">
      <alignment horizontal="center" vertical="center"/>
    </xf>
    <xf numFmtId="0" fontId="3" fillId="0" borderId="51" xfId="0" applyFont="1" applyBorder="1" applyAlignment="1">
      <alignment horizontal="center" vertical="center"/>
    </xf>
    <xf numFmtId="0" fontId="3" fillId="0" borderId="55" xfId="0" applyFont="1" applyBorder="1" applyAlignment="1">
      <alignment vertical="center" wrapText="1"/>
    </xf>
    <xf numFmtId="9" fontId="3" fillId="0" borderId="38" xfId="1" applyFont="1" applyBorder="1" applyAlignment="1">
      <alignment vertical="center" wrapText="1"/>
    </xf>
    <xf numFmtId="9" fontId="3" fillId="0" borderId="87" xfId="1" applyFont="1" applyBorder="1" applyAlignment="1">
      <alignment vertical="center" wrapText="1"/>
    </xf>
    <xf numFmtId="0" fontId="3" fillId="0" borderId="0" xfId="0" applyFont="1" applyAlignment="1">
      <alignment vertical="center"/>
    </xf>
    <xf numFmtId="0" fontId="14" fillId="7" borderId="65" xfId="0" applyFont="1" applyFill="1" applyBorder="1"/>
    <xf numFmtId="0" fontId="16" fillId="8" borderId="41" xfId="0" applyFont="1" applyFill="1" applyBorder="1"/>
    <xf numFmtId="0" fontId="16" fillId="8" borderId="1" xfId="0" applyFont="1" applyFill="1" applyBorder="1"/>
    <xf numFmtId="0" fontId="8" fillId="8" borderId="48" xfId="0" applyFont="1" applyFill="1" applyBorder="1" applyAlignment="1">
      <alignment horizontal="center"/>
    </xf>
    <xf numFmtId="0" fontId="8" fillId="8" borderId="45" xfId="0" applyFont="1" applyFill="1" applyBorder="1" applyAlignment="1">
      <alignment horizontal="center"/>
    </xf>
    <xf numFmtId="0" fontId="8" fillId="8" borderId="46" xfId="0" applyFont="1" applyFill="1" applyBorder="1" applyAlignment="1">
      <alignment horizontal="center"/>
    </xf>
    <xf numFmtId="0" fontId="1" fillId="7" borderId="0" xfId="0" applyFont="1" applyFill="1" applyAlignment="1">
      <alignment horizontal="left" indent="3"/>
    </xf>
    <xf numFmtId="0" fontId="0" fillId="7" borderId="0" xfId="0" applyFill="1" applyAlignment="1">
      <alignment horizontal="center"/>
    </xf>
    <xf numFmtId="0" fontId="1" fillId="7" borderId="1" xfId="0" applyFont="1" applyFill="1" applyBorder="1" applyAlignment="1">
      <alignment horizontal="center"/>
    </xf>
    <xf numFmtId="0" fontId="8" fillId="8" borderId="1" xfId="0" applyFont="1" applyFill="1" applyBorder="1" applyAlignment="1">
      <alignment horizontal="center"/>
    </xf>
    <xf numFmtId="0" fontId="25" fillId="0" borderId="0" xfId="0" applyFont="1" applyAlignment="1">
      <alignment vertical="center"/>
    </xf>
    <xf numFmtId="0" fontId="2" fillId="0" borderId="0" xfId="0" applyFont="1" applyAlignment="1">
      <alignment vertical="center"/>
    </xf>
    <xf numFmtId="0" fontId="30" fillId="9" borderId="12" xfId="0" applyFont="1" applyFill="1" applyBorder="1" applyAlignment="1">
      <alignment horizontal="center" vertical="center" wrapText="1"/>
    </xf>
    <xf numFmtId="0" fontId="3" fillId="0" borderId="88" xfId="0" applyFont="1" applyBorder="1" applyAlignment="1">
      <alignment vertical="center" wrapText="1"/>
    </xf>
    <xf numFmtId="0" fontId="12" fillId="0" borderId="49" xfId="0" applyFont="1" applyBorder="1" applyAlignment="1">
      <alignment vertical="center" wrapText="1"/>
    </xf>
    <xf numFmtId="0" fontId="3" fillId="0" borderId="18" xfId="0" applyFont="1" applyBorder="1" applyAlignment="1">
      <alignment vertical="center" wrapText="1"/>
    </xf>
    <xf numFmtId="0" fontId="12" fillId="0" borderId="18" xfId="0" applyFont="1" applyBorder="1" applyAlignment="1">
      <alignment vertical="center" wrapText="1"/>
    </xf>
    <xf numFmtId="0" fontId="3" fillId="7" borderId="87" xfId="0" applyFont="1" applyFill="1" applyBorder="1" applyAlignment="1">
      <alignment vertical="center" wrapText="1"/>
    </xf>
    <xf numFmtId="0" fontId="3" fillId="10" borderId="63" xfId="0" applyFont="1" applyFill="1" applyBorder="1" applyAlignment="1">
      <alignment vertical="center" wrapText="1"/>
    </xf>
    <xf numFmtId="0" fontId="3" fillId="7" borderId="63" xfId="0" applyFont="1" applyFill="1" applyBorder="1" applyAlignment="1">
      <alignment vertical="center" wrapText="1"/>
    </xf>
    <xf numFmtId="0" fontId="12" fillId="7" borderId="63" xfId="0" applyFont="1" applyFill="1" applyBorder="1" applyAlignment="1">
      <alignment horizontal="left" vertical="center" wrapText="1"/>
    </xf>
    <xf numFmtId="0" fontId="3" fillId="7" borderId="63" xfId="0" applyFont="1" applyFill="1" applyBorder="1" applyAlignment="1">
      <alignment horizontal="left" vertical="center" wrapText="1"/>
    </xf>
    <xf numFmtId="0" fontId="3" fillId="7" borderId="88" xfId="0" applyFont="1" applyFill="1" applyBorder="1" applyAlignment="1">
      <alignment horizontal="left" vertical="center" wrapText="1"/>
    </xf>
    <xf numFmtId="0" fontId="3" fillId="0" borderId="49" xfId="0" applyFont="1" applyBorder="1" applyAlignment="1">
      <alignment vertical="center" wrapText="1"/>
    </xf>
    <xf numFmtId="0" fontId="3" fillId="0" borderId="0" xfId="0" applyFont="1" applyAlignment="1">
      <alignment horizontal="center" vertical="center"/>
    </xf>
    <xf numFmtId="9" fontId="12" fillId="0" borderId="63" xfId="1" applyFont="1" applyBorder="1" applyAlignment="1">
      <alignment vertical="center" wrapText="1"/>
    </xf>
    <xf numFmtId="0" fontId="3" fillId="0" borderId="15" xfId="0" applyFont="1" applyBorder="1" applyAlignment="1">
      <alignment horizontal="left" indent="2"/>
    </xf>
    <xf numFmtId="0" fontId="3" fillId="0" borderId="0" xfId="0" applyFont="1" applyBorder="1" applyAlignment="1">
      <alignment horizontal="left" indent="2"/>
    </xf>
    <xf numFmtId="0" fontId="3" fillId="0" borderId="30" xfId="0" applyFont="1" applyBorder="1" applyAlignment="1"/>
    <xf numFmtId="0" fontId="32" fillId="0" borderId="0" xfId="0" applyFont="1"/>
    <xf numFmtId="0" fontId="33" fillId="2" borderId="31" xfId="0" applyFont="1" applyFill="1" applyBorder="1" applyAlignment="1">
      <alignment horizontal="center" vertical="center" wrapText="1"/>
    </xf>
    <xf numFmtId="10" fontId="32" fillId="0" borderId="37" xfId="0" applyNumberFormat="1" applyFont="1" applyBorder="1" applyAlignment="1">
      <alignment horizontal="center"/>
    </xf>
    <xf numFmtId="9" fontId="32" fillId="0" borderId="34" xfId="0" applyNumberFormat="1" applyFont="1" applyBorder="1" applyAlignment="1">
      <alignment horizontal="center" vertical="center"/>
    </xf>
    <xf numFmtId="9" fontId="32" fillId="0" borderId="36" xfId="0" applyNumberFormat="1" applyFont="1" applyBorder="1" applyAlignment="1">
      <alignment horizontal="center"/>
    </xf>
    <xf numFmtId="10" fontId="32" fillId="0" borderId="36" xfId="0" applyNumberFormat="1" applyFont="1" applyBorder="1" applyAlignment="1">
      <alignment horizontal="center"/>
    </xf>
    <xf numFmtId="9" fontId="32" fillId="0" borderId="39" xfId="0" applyNumberFormat="1" applyFont="1" applyBorder="1" applyAlignment="1">
      <alignment horizontal="center"/>
    </xf>
    <xf numFmtId="0" fontId="32" fillId="0" borderId="30" xfId="0" applyFont="1" applyBorder="1" applyAlignment="1"/>
    <xf numFmtId="9" fontId="32" fillId="0" borderId="8" xfId="0" applyNumberFormat="1" applyFont="1" applyBorder="1" applyAlignment="1">
      <alignment horizontal="center"/>
    </xf>
    <xf numFmtId="9" fontId="32" fillId="0" borderId="56" xfId="0" applyNumberFormat="1" applyFont="1" applyBorder="1" applyAlignment="1">
      <alignment horizontal="center"/>
    </xf>
    <xf numFmtId="9" fontId="32" fillId="0" borderId="18" xfId="0" applyNumberFormat="1" applyFont="1" applyBorder="1" applyAlignment="1">
      <alignment horizontal="center"/>
    </xf>
    <xf numFmtId="9" fontId="32" fillId="0" borderId="55" xfId="0" applyNumberFormat="1" applyFont="1" applyBorder="1" applyAlignment="1">
      <alignment horizontal="center" vertical="center"/>
    </xf>
    <xf numFmtId="9" fontId="32" fillId="0" borderId="51" xfId="0" applyNumberFormat="1" applyFont="1" applyBorder="1" applyAlignment="1">
      <alignment horizontal="center" vertical="center" wrapText="1"/>
    </xf>
    <xf numFmtId="0" fontId="34" fillId="2" borderId="32" xfId="0" applyFont="1" applyFill="1" applyBorder="1" applyAlignment="1">
      <alignment vertical="center" wrapText="1"/>
    </xf>
    <xf numFmtId="9" fontId="32" fillId="0" borderId="49" xfId="0" applyNumberFormat="1" applyFont="1" applyBorder="1" applyAlignment="1">
      <alignment horizontal="center" vertical="center"/>
    </xf>
    <xf numFmtId="9" fontId="32" fillId="0" borderId="51" xfId="0" applyNumberFormat="1" applyFont="1" applyBorder="1" applyAlignment="1">
      <alignment horizontal="center" vertical="center"/>
    </xf>
    <xf numFmtId="9" fontId="32" fillId="0" borderId="18" xfId="0" applyNumberFormat="1" applyFont="1" applyBorder="1" applyAlignment="1">
      <alignment horizontal="center" vertical="center"/>
    </xf>
    <xf numFmtId="0" fontId="32" fillId="0" borderId="0" xfId="0" applyFont="1" applyBorder="1"/>
    <xf numFmtId="9" fontId="32" fillId="0" borderId="87" xfId="0" applyNumberFormat="1" applyFont="1" applyBorder="1" applyAlignment="1">
      <alignment horizontal="center" vertical="center"/>
    </xf>
    <xf numFmtId="9" fontId="32" fillId="0" borderId="63" xfId="0" applyNumberFormat="1" applyFont="1" applyBorder="1" applyAlignment="1">
      <alignment horizontal="center"/>
    </xf>
    <xf numFmtId="9" fontId="32" fillId="0" borderId="38" xfId="0" applyNumberFormat="1" applyFont="1" applyBorder="1" applyAlignment="1">
      <alignment horizontal="center" vertical="center"/>
    </xf>
    <xf numFmtId="9" fontId="32" fillId="0" borderId="88" xfId="0" applyNumberFormat="1" applyFont="1" applyBorder="1" applyAlignment="1">
      <alignment horizontal="center" vertical="center"/>
    </xf>
    <xf numFmtId="0" fontId="35" fillId="0" borderId="0" xfId="0" applyFont="1"/>
    <xf numFmtId="0" fontId="36" fillId="2" borderId="3" xfId="0" applyFont="1" applyFill="1" applyBorder="1" applyAlignment="1">
      <alignment horizontal="center" vertical="center" wrapText="1"/>
    </xf>
    <xf numFmtId="0" fontId="32" fillId="0" borderId="91" xfId="0" applyFont="1" applyBorder="1" applyAlignment="1"/>
    <xf numFmtId="9" fontId="32" fillId="0" borderId="0" xfId="0" applyNumberFormat="1" applyFont="1" applyBorder="1" applyAlignment="1">
      <alignment vertical="center"/>
    </xf>
    <xf numFmtId="0" fontId="37" fillId="0" borderId="0" xfId="0" applyFont="1"/>
    <xf numFmtId="0" fontId="36" fillId="5" borderId="20" xfId="0" applyFont="1" applyFill="1" applyBorder="1" applyAlignment="1">
      <alignment horizontal="center" vertical="center" wrapText="1"/>
    </xf>
    <xf numFmtId="0" fontId="32" fillId="0" borderId="20" xfId="0" applyFont="1" applyBorder="1"/>
    <xf numFmtId="0" fontId="32" fillId="0" borderId="80" xfId="0" applyFont="1" applyBorder="1"/>
    <xf numFmtId="0" fontId="32" fillId="0" borderId="67" xfId="0" applyFont="1" applyBorder="1"/>
    <xf numFmtId="0" fontId="36" fillId="5" borderId="4" xfId="0" applyFont="1" applyFill="1" applyBorder="1" applyAlignment="1">
      <alignment horizontal="center" vertical="center" wrapText="1"/>
    </xf>
    <xf numFmtId="0" fontId="32" fillId="7" borderId="83" xfId="0" applyFont="1" applyFill="1" applyBorder="1"/>
    <xf numFmtId="0" fontId="31" fillId="7" borderId="0" xfId="0" applyFont="1" applyFill="1"/>
    <xf numFmtId="0" fontId="31" fillId="7" borderId="0" xfId="0" applyFont="1" applyFill="1" applyAlignment="1">
      <alignment horizontal="center"/>
    </xf>
    <xf numFmtId="0" fontId="31" fillId="0" borderId="0" xfId="0" applyFont="1"/>
    <xf numFmtId="0" fontId="2" fillId="0" borderId="88" xfId="0" applyFont="1" applyBorder="1" applyAlignment="1">
      <alignment horizontal="left" vertical="center"/>
    </xf>
    <xf numFmtId="0" fontId="38" fillId="0" borderId="87" xfId="0" applyFont="1" applyBorder="1" applyAlignment="1">
      <alignment vertical="center" wrapText="1"/>
    </xf>
    <xf numFmtId="0" fontId="0" fillId="0" borderId="0" xfId="0" applyFont="1"/>
    <xf numFmtId="0" fontId="2" fillId="2" borderId="31" xfId="0" applyFont="1" applyFill="1" applyBorder="1" applyAlignment="1">
      <alignment horizontal="center" vertical="center" wrapText="1"/>
    </xf>
    <xf numFmtId="0" fontId="0" fillId="0" borderId="1" xfId="0" applyFont="1" applyBorder="1" applyAlignment="1">
      <alignment horizontal="center"/>
    </xf>
    <xf numFmtId="0" fontId="18" fillId="2" borderId="2" xfId="0" applyFont="1" applyFill="1" applyBorder="1" applyAlignment="1">
      <alignment horizontal="center" vertical="center" wrapText="1"/>
    </xf>
    <xf numFmtId="0" fontId="41" fillId="11" borderId="42" xfId="2" applyFont="1" applyFill="1" applyBorder="1" applyAlignment="1">
      <alignment horizontal="center" vertical="center"/>
    </xf>
    <xf numFmtId="3" fontId="41" fillId="11" borderId="18" xfId="2" applyNumberFormat="1" applyFont="1" applyFill="1" applyBorder="1"/>
    <xf numFmtId="0" fontId="11" fillId="0" borderId="1" xfId="0" applyFont="1" applyBorder="1" applyAlignment="1">
      <alignment horizontal="center"/>
    </xf>
    <xf numFmtId="0" fontId="3" fillId="0" borderId="26" xfId="0" applyFont="1" applyBorder="1" applyAlignment="1">
      <alignment horizontal="center" vertical="center"/>
    </xf>
    <xf numFmtId="9" fontId="3" fillId="0" borderId="26" xfId="0" applyNumberFormat="1" applyFont="1" applyBorder="1" applyAlignment="1">
      <alignment horizontal="left" indent="2"/>
    </xf>
    <xf numFmtId="0" fontId="3" fillId="0" borderId="13" xfId="0" applyFont="1" applyBorder="1" applyAlignment="1">
      <alignment horizontal="center"/>
    </xf>
    <xf numFmtId="0" fontId="3" fillId="0" borderId="13" xfId="0" applyFont="1" applyBorder="1" applyAlignment="1">
      <alignment horizontal="center" vertical="center"/>
    </xf>
    <xf numFmtId="0" fontId="3" fillId="0" borderId="12" xfId="0" applyFont="1" applyBorder="1" applyAlignment="1">
      <alignment horizontal="center" vertical="center"/>
    </xf>
    <xf numFmtId="164" fontId="3" fillId="0" borderId="26" xfId="0" applyNumberFormat="1" applyFont="1" applyBorder="1" applyAlignment="1">
      <alignment horizontal="left" vertical="center" indent="2"/>
    </xf>
    <xf numFmtId="0" fontId="11" fillId="0" borderId="1" xfId="0" applyFont="1" applyBorder="1" applyAlignment="1">
      <alignment horizontal="center"/>
    </xf>
    <xf numFmtId="0" fontId="0" fillId="0" borderId="1" xfId="0" applyBorder="1" applyAlignment="1">
      <alignment horizontal="center"/>
    </xf>
    <xf numFmtId="0" fontId="13" fillId="0" borderId="1" xfId="0" applyFont="1" applyBorder="1"/>
    <xf numFmtId="0" fontId="1"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1" fillId="7" borderId="17" xfId="0" applyFont="1" applyFill="1" applyBorder="1" applyAlignment="1">
      <alignment horizontal="center"/>
    </xf>
    <xf numFmtId="0" fontId="8" fillId="8" borderId="17" xfId="0" applyFont="1" applyFill="1" applyBorder="1" applyAlignment="1">
      <alignment horizontal="center"/>
    </xf>
    <xf numFmtId="0" fontId="1" fillId="7" borderId="0" xfId="0" applyFont="1" applyFill="1" applyBorder="1" applyAlignment="1">
      <alignment horizontal="center"/>
    </xf>
    <xf numFmtId="0" fontId="8" fillId="8" borderId="0" xfId="0" applyFont="1" applyFill="1" applyBorder="1" applyAlignment="1">
      <alignment horizontal="center"/>
    </xf>
    <xf numFmtId="0" fontId="36" fillId="2" borderId="3" xfId="0" applyFont="1" applyFill="1" applyBorder="1" applyAlignment="1">
      <alignment vertical="center" wrapText="1"/>
    </xf>
    <xf numFmtId="0" fontId="3" fillId="0" borderId="1" xfId="0" applyFont="1" applyBorder="1"/>
    <xf numFmtId="0" fontId="3" fillId="0" borderId="1" xfId="0" applyFont="1" applyBorder="1" applyAlignment="1"/>
    <xf numFmtId="165" fontId="3" fillId="0" borderId="5" xfId="0" applyNumberFormat="1" applyFont="1" applyBorder="1" applyAlignment="1">
      <alignment horizontal="center"/>
    </xf>
    <xf numFmtId="165" fontId="3" fillId="0" borderId="9" xfId="0" applyNumberFormat="1" applyFont="1" applyBorder="1" applyAlignment="1">
      <alignment horizontal="center"/>
    </xf>
    <xf numFmtId="165" fontId="3" fillId="0" borderId="19" xfId="0" applyNumberFormat="1" applyFont="1" applyBorder="1" applyAlignment="1">
      <alignment horizontal="center"/>
    </xf>
    <xf numFmtId="0" fontId="3" fillId="0" borderId="28" xfId="0" applyFont="1" applyBorder="1" applyAlignment="1">
      <alignment horizontal="center" vertical="center"/>
    </xf>
    <xf numFmtId="0" fontId="40" fillId="0" borderId="0" xfId="2" applyFont="1"/>
    <xf numFmtId="0" fontId="41" fillId="0" borderId="0" xfId="2" applyFont="1" applyAlignment="1">
      <alignment horizontal="right"/>
    </xf>
    <xf numFmtId="0" fontId="41" fillId="0" borderId="0" xfId="2" applyFont="1"/>
    <xf numFmtId="0" fontId="40" fillId="0" borderId="56" xfId="2" applyFont="1" applyBorder="1"/>
    <xf numFmtId="0" fontId="41" fillId="0" borderId="0" xfId="2" applyFont="1" applyAlignment="1">
      <alignment horizontal="center" vertical="center"/>
    </xf>
    <xf numFmtId="0" fontId="41" fillId="0" borderId="0" xfId="2" applyFont="1" applyAlignment="1">
      <alignment vertical="center"/>
    </xf>
    <xf numFmtId="0" fontId="41" fillId="11" borderId="0" xfId="2" applyFont="1" applyFill="1" applyAlignment="1">
      <alignment horizontal="center" vertical="center"/>
    </xf>
    <xf numFmtId="0" fontId="41" fillId="0" borderId="0" xfId="2" applyFont="1" applyAlignment="1">
      <alignment horizontal="center"/>
    </xf>
    <xf numFmtId="0" fontId="41" fillId="11" borderId="0" xfId="2" applyFont="1" applyFill="1" applyAlignment="1">
      <alignment horizontal="center"/>
    </xf>
    <xf numFmtId="0" fontId="41" fillId="0" borderId="42" xfId="2" applyFont="1" applyBorder="1" applyAlignment="1">
      <alignment horizontal="center" vertical="center"/>
    </xf>
    <xf numFmtId="0" fontId="41" fillId="0" borderId="42" xfId="2" applyFont="1" applyBorder="1" applyAlignment="1">
      <alignment vertical="center"/>
    </xf>
    <xf numFmtId="0" fontId="41" fillId="0" borderId="42" xfId="2" applyFont="1" applyBorder="1" applyAlignment="1">
      <alignment horizontal="center"/>
    </xf>
    <xf numFmtId="0" fontId="41" fillId="11" borderId="42" xfId="2" applyFont="1" applyFill="1" applyBorder="1" applyAlignment="1">
      <alignment horizontal="center"/>
    </xf>
    <xf numFmtId="0" fontId="41" fillId="11" borderId="0" xfId="2" applyFont="1" applyFill="1"/>
    <xf numFmtId="0" fontId="40" fillId="0" borderId="40" xfId="2" applyFont="1" applyBorder="1" applyAlignment="1">
      <alignment horizontal="center"/>
    </xf>
    <xf numFmtId="0" fontId="40" fillId="0" borderId="0" xfId="2" applyFont="1" applyAlignment="1">
      <alignment horizontal="center"/>
    </xf>
    <xf numFmtId="0" fontId="40" fillId="11" borderId="0" xfId="2" applyFont="1" applyFill="1"/>
    <xf numFmtId="3" fontId="40" fillId="0" borderId="0" xfId="2" applyNumberFormat="1" applyFont="1"/>
    <xf numFmtId="3" fontId="40" fillId="11" borderId="0" xfId="2" applyNumberFormat="1" applyFont="1" applyFill="1"/>
    <xf numFmtId="3" fontId="41" fillId="0" borderId="0" xfId="2" applyNumberFormat="1" applyFont="1"/>
    <xf numFmtId="3" fontId="41" fillId="11" borderId="0" xfId="2" applyNumberFormat="1" applyFont="1" applyFill="1"/>
    <xf numFmtId="0" fontId="41" fillId="0" borderId="17" xfId="2" applyFont="1" applyBorder="1" applyAlignment="1">
      <alignment horizontal="center"/>
    </xf>
    <xf numFmtId="0" fontId="41" fillId="0" borderId="18" xfId="2" applyFont="1" applyBorder="1"/>
    <xf numFmtId="0" fontId="41" fillId="0" borderId="18" xfId="2" applyFont="1" applyBorder="1" applyAlignment="1">
      <alignment horizontal="center"/>
    </xf>
    <xf numFmtId="3" fontId="41" fillId="0" borderId="18" xfId="2" applyNumberFormat="1" applyFont="1" applyBorder="1"/>
    <xf numFmtId="0" fontId="41" fillId="0" borderId="93" xfId="2" applyFont="1" applyBorder="1" applyAlignment="1">
      <alignment horizontal="center"/>
    </xf>
    <xf numFmtId="0" fontId="41" fillId="0" borderId="93" xfId="2" applyFont="1" applyBorder="1"/>
    <xf numFmtId="3" fontId="41" fillId="0" borderId="93" xfId="2" applyNumberFormat="1" applyFont="1" applyBorder="1"/>
    <xf numFmtId="3" fontId="41" fillId="11" borderId="93" xfId="2" applyNumberFormat="1" applyFont="1" applyFill="1" applyBorder="1"/>
    <xf numFmtId="0" fontId="41" fillId="0" borderId="94" xfId="2" applyFont="1" applyBorder="1" applyAlignment="1">
      <alignment horizontal="center"/>
    </xf>
    <xf numFmtId="0" fontId="43" fillId="0" borderId="0" xfId="2" applyFont="1"/>
    <xf numFmtId="0" fontId="41" fillId="0" borderId="55" xfId="2" applyFont="1" applyBorder="1" applyAlignment="1">
      <alignment horizontal="center" vertical="center"/>
    </xf>
    <xf numFmtId="0" fontId="41" fillId="11" borderId="55" xfId="2" applyFont="1" applyFill="1" applyBorder="1" applyAlignment="1">
      <alignment horizontal="center" vertical="center"/>
    </xf>
    <xf numFmtId="49" fontId="40" fillId="0" borderId="0" xfId="2" applyNumberFormat="1" applyFont="1" applyAlignment="1">
      <alignment horizontal="center"/>
    </xf>
    <xf numFmtId="49" fontId="41" fillId="0" borderId="0" xfId="2" applyNumberFormat="1" applyFont="1" applyAlignment="1">
      <alignment horizontal="center"/>
    </xf>
    <xf numFmtId="49" fontId="41" fillId="0" borderId="18" xfId="2" applyNumberFormat="1" applyFont="1" applyBorder="1" applyAlignment="1">
      <alignment horizontal="center"/>
    </xf>
    <xf numFmtId="49" fontId="41" fillId="0" borderId="93" xfId="2" applyNumberFormat="1" applyFont="1" applyBorder="1"/>
    <xf numFmtId="3" fontId="43" fillId="0" borderId="0" xfId="2" applyNumberFormat="1" applyFont="1"/>
    <xf numFmtId="11" fontId="41" fillId="0" borderId="51" xfId="2" applyNumberFormat="1" applyFont="1" applyBorder="1" applyAlignment="1">
      <alignment horizontal="center" vertical="center"/>
    </xf>
    <xf numFmtId="11" fontId="41" fillId="0" borderId="51" xfId="2" applyNumberFormat="1" applyFont="1" applyBorder="1" applyAlignment="1">
      <alignment horizontal="center" vertical="center"/>
    </xf>
    <xf numFmtId="11" fontId="41" fillId="11" borderId="51" xfId="2" applyNumberFormat="1" applyFont="1" applyFill="1" applyBorder="1" applyAlignment="1">
      <alignment horizontal="center" vertical="center"/>
    </xf>
    <xf numFmtId="11" fontId="40" fillId="0" borderId="0" xfId="2" applyNumberFormat="1" applyFont="1"/>
    <xf numFmtId="0" fontId="40" fillId="0" borderId="0" xfId="2" quotePrefix="1" applyFont="1"/>
    <xf numFmtId="0" fontId="41" fillId="0" borderId="56" xfId="2" applyFont="1" applyBorder="1"/>
    <xf numFmtId="3" fontId="41" fillId="0" borderId="56" xfId="2" applyNumberFormat="1" applyFont="1" applyBorder="1"/>
    <xf numFmtId="3" fontId="41" fillId="11" borderId="56" xfId="2" applyNumberFormat="1" applyFont="1" applyFill="1" applyBorder="1"/>
    <xf numFmtId="0" fontId="42" fillId="0" borderId="0" xfId="2" applyFont="1"/>
    <xf numFmtId="9" fontId="40" fillId="0" borderId="0" xfId="1" applyFont="1"/>
    <xf numFmtId="9" fontId="41" fillId="0" borderId="0" xfId="1" applyFont="1"/>
    <xf numFmtId="9" fontId="41" fillId="0" borderId="18" xfId="1" applyFont="1" applyBorder="1"/>
    <xf numFmtId="0" fontId="41" fillId="0" borderId="18" xfId="2" quotePrefix="1" applyFont="1" applyBorder="1"/>
    <xf numFmtId="0" fontId="41" fillId="0" borderId="93" xfId="2" quotePrefix="1" applyFont="1" applyBorder="1"/>
    <xf numFmtId="9" fontId="41" fillId="0" borderId="93" xfId="1" applyFont="1" applyBorder="1"/>
    <xf numFmtId="0" fontId="41" fillId="0" borderId="0" xfId="2" quotePrefix="1" applyFont="1"/>
    <xf numFmtId="3" fontId="40" fillId="0" borderId="56" xfId="2" applyNumberFormat="1" applyFont="1" applyBorder="1"/>
    <xf numFmtId="3" fontId="40" fillId="11" borderId="56" xfId="2" applyNumberFormat="1" applyFont="1" applyFill="1" applyBorder="1"/>
    <xf numFmtId="9" fontId="40" fillId="0" borderId="56" xfId="1" applyFont="1" applyBorder="1"/>
    <xf numFmtId="0" fontId="40" fillId="0" borderId="56" xfId="2" quotePrefix="1" applyFont="1" applyBorder="1"/>
    <xf numFmtId="49" fontId="12" fillId="0" borderId="1" xfId="0" applyNumberFormat="1" applyFont="1" applyBorder="1" applyAlignment="1">
      <alignment horizontal="center"/>
    </xf>
    <xf numFmtId="1" fontId="40" fillId="0" borderId="0" xfId="2" applyNumberFormat="1" applyFont="1"/>
    <xf numFmtId="1" fontId="3" fillId="0" borderId="5" xfId="0" applyNumberFormat="1" applyFont="1" applyBorder="1" applyAlignment="1">
      <alignment horizontal="center"/>
    </xf>
    <xf numFmtId="1" fontId="3" fillId="0" borderId="60" xfId="0" applyNumberFormat="1" applyFont="1" applyBorder="1" applyAlignment="1">
      <alignment horizontal="center" vertical="center"/>
    </xf>
    <xf numFmtId="1" fontId="3" fillId="0" borderId="9" xfId="0" applyNumberFormat="1" applyFont="1" applyBorder="1" applyAlignment="1">
      <alignment horizontal="center"/>
    </xf>
    <xf numFmtId="9" fontId="3" fillId="0" borderId="9" xfId="1" applyFont="1" applyBorder="1" applyAlignment="1">
      <alignment horizontal="center"/>
    </xf>
    <xf numFmtId="1" fontId="3" fillId="0" borderId="60" xfId="1" applyNumberFormat="1" applyFont="1" applyBorder="1" applyAlignment="1">
      <alignment horizontal="center"/>
    </xf>
    <xf numFmtId="1" fontId="3" fillId="0" borderId="60" xfId="0" applyNumberFormat="1" applyFont="1" applyBorder="1" applyAlignment="1">
      <alignment horizontal="center"/>
    </xf>
    <xf numFmtId="9" fontId="40" fillId="0" borderId="0" xfId="2" applyNumberFormat="1" applyFont="1"/>
    <xf numFmtId="49" fontId="12" fillId="0" borderId="6" xfId="0" applyNumberFormat="1" applyFont="1" applyBorder="1" applyAlignment="1">
      <alignment horizontal="center"/>
    </xf>
    <xf numFmtId="164" fontId="3" fillId="0" borderId="9" xfId="0" applyNumberFormat="1" applyFont="1" applyBorder="1" applyAlignment="1">
      <alignment horizontal="center"/>
    </xf>
    <xf numFmtId="164" fontId="40" fillId="0" borderId="0" xfId="2" applyNumberFormat="1" applyFont="1"/>
    <xf numFmtId="1" fontId="3" fillId="0" borderId="6" xfId="0" applyNumberFormat="1" applyFont="1" applyBorder="1" applyAlignment="1">
      <alignment horizontal="center"/>
    </xf>
    <xf numFmtId="1" fontId="3" fillId="0" borderId="24" xfId="0" applyNumberFormat="1" applyFont="1" applyBorder="1" applyAlignment="1">
      <alignment horizontal="center" vertical="center"/>
    </xf>
    <xf numFmtId="1" fontId="3" fillId="0" borderId="1" xfId="0" applyNumberFormat="1" applyFont="1" applyBorder="1" applyAlignment="1">
      <alignment horizontal="center"/>
    </xf>
    <xf numFmtId="1" fontId="3" fillId="0" borderId="12" xfId="0" applyNumberFormat="1" applyFont="1" applyBorder="1" applyAlignment="1">
      <alignment horizontal="center"/>
    </xf>
    <xf numFmtId="1" fontId="3" fillId="0" borderId="24" xfId="0" applyNumberFormat="1" applyFont="1" applyBorder="1" applyAlignment="1">
      <alignment horizontal="center"/>
    </xf>
    <xf numFmtId="1" fontId="3" fillId="0" borderId="15" xfId="0" applyNumberFormat="1" applyFont="1" applyBorder="1" applyAlignment="1">
      <alignment horizontal="center"/>
    </xf>
    <xf numFmtId="0" fontId="41" fillId="0" borderId="0" xfId="2" applyFont="1" applyBorder="1" applyAlignment="1">
      <alignment horizontal="center"/>
    </xf>
    <xf numFmtId="3" fontId="41" fillId="0" borderId="0" xfId="2" applyNumberFormat="1" applyFont="1" applyBorder="1" applyAlignment="1">
      <alignment horizontal="center"/>
    </xf>
    <xf numFmtId="3" fontId="40" fillId="0" borderId="0" xfId="2" applyNumberFormat="1" applyFont="1" applyBorder="1" applyAlignment="1">
      <alignment horizontal="right"/>
    </xf>
    <xf numFmtId="0" fontId="46" fillId="0" borderId="0" xfId="2" applyFont="1"/>
    <xf numFmtId="0" fontId="40" fillId="0" borderId="0" xfId="2" applyFont="1" applyAlignment="1">
      <alignment horizontal="left" indent="4"/>
    </xf>
    <xf numFmtId="0" fontId="44" fillId="0" borderId="0" xfId="2" applyFont="1"/>
    <xf numFmtId="11" fontId="41" fillId="0" borderId="51" xfId="2" applyNumberFormat="1" applyFont="1" applyBorder="1" applyAlignment="1">
      <alignment vertical="center"/>
    </xf>
    <xf numFmtId="11" fontId="41" fillId="0" borderId="0" xfId="2" applyNumberFormat="1" applyFont="1" applyBorder="1" applyAlignment="1">
      <alignment horizontal="center" vertical="center"/>
    </xf>
    <xf numFmtId="11" fontId="41" fillId="0" borderId="0" xfId="2" applyNumberFormat="1" applyFont="1" applyBorder="1" applyAlignment="1">
      <alignment vertical="center"/>
    </xf>
    <xf numFmtId="0" fontId="47" fillId="0" borderId="0" xfId="2" quotePrefix="1" applyFont="1"/>
    <xf numFmtId="3" fontId="41" fillId="0" borderId="51" xfId="2" applyNumberFormat="1" applyFont="1" applyBorder="1" applyAlignment="1">
      <alignment vertical="center"/>
    </xf>
    <xf numFmtId="3" fontId="41" fillId="0" borderId="0" xfId="2" applyNumberFormat="1" applyFont="1" applyBorder="1" applyAlignment="1">
      <alignment vertical="center"/>
    </xf>
    <xf numFmtId="3" fontId="0" fillId="0" borderId="0" xfId="0" applyNumberFormat="1"/>
    <xf numFmtId="0" fontId="48" fillId="0" borderId="0" xfId="2" quotePrefix="1" applyFont="1"/>
    <xf numFmtId="3" fontId="49" fillId="0" borderId="0" xfId="0" applyNumberFormat="1" applyFont="1"/>
    <xf numFmtId="0" fontId="49" fillId="0" borderId="0" xfId="0" applyFont="1"/>
    <xf numFmtId="0" fontId="50" fillId="0" borderId="18" xfId="2" applyFont="1" applyBorder="1"/>
    <xf numFmtId="3" fontId="50" fillId="0" borderId="18" xfId="2" applyNumberFormat="1" applyFont="1" applyBorder="1"/>
    <xf numFmtId="0" fontId="47" fillId="0" borderId="0" xfId="2" applyFont="1"/>
    <xf numFmtId="0" fontId="48" fillId="0" borderId="0" xfId="2" applyFont="1"/>
    <xf numFmtId="0" fontId="51" fillId="0" borderId="0" xfId="0" applyFont="1" applyAlignment="1">
      <alignment horizontal="justify" vertical="center"/>
    </xf>
    <xf numFmtId="0" fontId="3" fillId="0" borderId="0" xfId="0" applyFont="1" applyAlignment="1">
      <alignment horizontal="left" vertical="center" indent="1"/>
    </xf>
    <xf numFmtId="0" fontId="3" fillId="0" borderId="0" xfId="0" applyFont="1" applyAlignment="1">
      <alignment horizontal="left" vertical="center"/>
    </xf>
    <xf numFmtId="0" fontId="3" fillId="0" borderId="0" xfId="0" applyFont="1" applyAlignment="1">
      <alignment horizontal="left"/>
    </xf>
    <xf numFmtId="0" fontId="40" fillId="0" borderId="0" xfId="2" applyFont="1" applyBorder="1"/>
    <xf numFmtId="3" fontId="40" fillId="0" borderId="0" xfId="2" applyNumberFormat="1" applyFont="1" applyBorder="1"/>
    <xf numFmtId="9" fontId="40" fillId="0" borderId="0" xfId="1" applyFont="1" applyBorder="1"/>
    <xf numFmtId="0" fontId="40" fillId="0" borderId="95" xfId="2" quotePrefix="1" applyFont="1" applyBorder="1"/>
    <xf numFmtId="0" fontId="40" fillId="0" borderId="95" xfId="2" applyFont="1" applyBorder="1"/>
    <xf numFmtId="3" fontId="40" fillId="0" borderId="95" xfId="2" applyNumberFormat="1" applyFont="1" applyBorder="1"/>
    <xf numFmtId="3" fontId="40" fillId="11" borderId="95" xfId="2" applyNumberFormat="1" applyFont="1" applyFill="1" applyBorder="1"/>
    <xf numFmtId="9" fontId="40" fillId="0" borderId="95" xfId="1" applyFont="1" applyBorder="1"/>
    <xf numFmtId="0" fontId="40" fillId="0" borderId="0" xfId="2" quotePrefix="1" applyFont="1" applyBorder="1"/>
    <xf numFmtId="0" fontId="41" fillId="0" borderId="0" xfId="2" applyNumberFormat="1" applyFont="1"/>
    <xf numFmtId="0" fontId="40" fillId="0" borderId="0" xfId="2" applyNumberFormat="1" applyFont="1"/>
    <xf numFmtId="0" fontId="41" fillId="0" borderId="0" xfId="2" applyNumberFormat="1" applyFont="1" applyAlignment="1">
      <alignment horizontal="right"/>
    </xf>
    <xf numFmtId="0" fontId="41" fillId="0" borderId="0" xfId="2" applyNumberFormat="1" applyFont="1" applyAlignment="1">
      <alignment horizontal="left"/>
    </xf>
    <xf numFmtId="0" fontId="52" fillId="0" borderId="0" xfId="2" applyNumberFormat="1" applyFont="1"/>
    <xf numFmtId="0" fontId="53" fillId="0" borderId="0" xfId="2" applyFont="1"/>
    <xf numFmtId="0" fontId="0" fillId="0" borderId="0" xfId="0" applyFont="1" applyAlignment="1">
      <alignment horizontal="center"/>
    </xf>
    <xf numFmtId="11" fontId="41" fillId="0" borderId="24" xfId="2" applyNumberFormat="1" applyFont="1" applyBorder="1" applyAlignment="1">
      <alignment horizontal="center" vertical="center"/>
    </xf>
    <xf numFmtId="0" fontId="0" fillId="0" borderId="33" xfId="0" applyFont="1" applyBorder="1" applyAlignment="1">
      <alignment horizontal="center"/>
    </xf>
    <xf numFmtId="0" fontId="1" fillId="0" borderId="33" xfId="0" applyFont="1" applyBorder="1" applyAlignment="1">
      <alignment horizontal="center"/>
    </xf>
    <xf numFmtId="0" fontId="50" fillId="0" borderId="1" xfId="2" applyFont="1" applyBorder="1" applyAlignment="1">
      <alignment horizontal="center"/>
    </xf>
    <xf numFmtId="3" fontId="41" fillId="0" borderId="24" xfId="2" applyNumberFormat="1" applyFont="1" applyBorder="1" applyAlignment="1">
      <alignment vertical="center"/>
    </xf>
    <xf numFmtId="3" fontId="41" fillId="0" borderId="33" xfId="2" applyNumberFormat="1" applyFont="1" applyBorder="1" applyAlignment="1">
      <alignment vertical="center"/>
    </xf>
    <xf numFmtId="3" fontId="0" fillId="0" borderId="33" xfId="0" applyNumberFormat="1" applyBorder="1"/>
    <xf numFmtId="3" fontId="49" fillId="0" borderId="33" xfId="0" applyNumberFormat="1" applyFont="1" applyBorder="1"/>
    <xf numFmtId="3" fontId="50" fillId="0" borderId="1" xfId="2" applyNumberFormat="1" applyFont="1" applyBorder="1"/>
    <xf numFmtId="0" fontId="40" fillId="0" borderId="0" xfId="2" applyFont="1" applyAlignment="1"/>
    <xf numFmtId="49" fontId="52" fillId="0" borderId="0" xfId="2" applyNumberFormat="1" applyFont="1" applyAlignment="1"/>
    <xf numFmtId="49" fontId="52" fillId="0" borderId="0" xfId="2" applyNumberFormat="1" applyFont="1"/>
    <xf numFmtId="0" fontId="52" fillId="0" borderId="0" xfId="2" applyFont="1" applyAlignment="1">
      <alignment horizontal="left"/>
    </xf>
    <xf numFmtId="0" fontId="3" fillId="2" borderId="0" xfId="0" applyNumberFormat="1" applyFont="1" applyFill="1" applyBorder="1" applyAlignment="1">
      <alignment vertical="top" wrapText="1"/>
    </xf>
    <xf numFmtId="0" fontId="3" fillId="0" borderId="0" xfId="0" applyNumberFormat="1" applyFont="1" applyBorder="1"/>
    <xf numFmtId="0" fontId="3" fillId="0" borderId="0" xfId="0" applyNumberFormat="1" applyFont="1"/>
    <xf numFmtId="49" fontId="52" fillId="0" borderId="56" xfId="2" applyNumberFormat="1" applyFont="1" applyBorder="1" applyAlignment="1">
      <alignment horizontal="left"/>
    </xf>
    <xf numFmtId="0" fontId="52" fillId="0" borderId="56" xfId="2" applyNumberFormat="1" applyFont="1" applyBorder="1" applyAlignment="1">
      <alignment horizontal="left"/>
    </xf>
    <xf numFmtId="0" fontId="0" fillId="0" borderId="0" xfId="0" applyNumberFormat="1"/>
    <xf numFmtId="0" fontId="14" fillId="0" borderId="66" xfId="0" applyNumberFormat="1" applyFont="1" applyBorder="1"/>
    <xf numFmtId="0" fontId="32" fillId="0" borderId="66" xfId="0" applyNumberFormat="1" applyFont="1" applyBorder="1"/>
    <xf numFmtId="0" fontId="14" fillId="0" borderId="67" xfId="0" applyNumberFormat="1" applyFont="1" applyBorder="1"/>
    <xf numFmtId="0" fontId="52" fillId="0" borderId="0" xfId="2" applyNumberFormat="1" applyFont="1" applyAlignment="1"/>
    <xf numFmtId="9" fontId="32" fillId="0" borderId="18" xfId="0" quotePrefix="1" applyNumberFormat="1" applyFont="1" applyBorder="1" applyAlignment="1">
      <alignment horizontal="center" vertical="center"/>
    </xf>
    <xf numFmtId="0" fontId="15" fillId="0" borderId="0" xfId="0" applyFont="1" applyAlignment="1">
      <alignment horizontal="center" vertical="center" wrapText="1"/>
    </xf>
    <xf numFmtId="0" fontId="54" fillId="0" borderId="0" xfId="0" applyFont="1" applyAlignment="1">
      <alignment horizontal="center" vertical="center"/>
    </xf>
    <xf numFmtId="0" fontId="18" fillId="0" borderId="0" xfId="0" applyFont="1" applyAlignment="1">
      <alignment horizontal="center" vertical="center"/>
    </xf>
    <xf numFmtId="0" fontId="3" fillId="0" borderId="0" xfId="0" applyFont="1" applyAlignment="1">
      <alignment horizontal="justify" vertical="center"/>
    </xf>
    <xf numFmtId="0" fontId="3" fillId="0" borderId="0" xfId="0" applyFont="1" applyAlignment="1">
      <alignment wrapText="1"/>
    </xf>
    <xf numFmtId="0" fontId="54" fillId="14" borderId="0" xfId="0" applyFont="1" applyFill="1" applyAlignment="1">
      <alignment horizontal="center" vertical="center"/>
    </xf>
    <xf numFmtId="0" fontId="2" fillId="14" borderId="0" xfId="0" applyFont="1" applyFill="1" applyAlignment="1">
      <alignment horizontal="center"/>
    </xf>
    <xf numFmtId="0" fontId="18" fillId="14" borderId="0" xfId="0" applyFont="1" applyFill="1" applyAlignment="1">
      <alignment horizontal="center" vertical="center"/>
    </xf>
    <xf numFmtId="0" fontId="54" fillId="12" borderId="0" xfId="0" applyFont="1" applyFill="1" applyAlignment="1">
      <alignment horizontal="center" vertical="center"/>
    </xf>
    <xf numFmtId="0" fontId="54" fillId="0" borderId="0" xfId="0" applyFont="1" applyAlignment="1">
      <alignment vertical="center" wrapText="1"/>
    </xf>
    <xf numFmtId="0" fontId="54" fillId="0" borderId="0" xfId="0" applyFont="1" applyFill="1" applyAlignment="1">
      <alignment horizontal="center" vertical="center"/>
    </xf>
    <xf numFmtId="0" fontId="54" fillId="16" borderId="0" xfId="0" applyFont="1" applyFill="1" applyAlignment="1">
      <alignment horizontal="center" vertical="center"/>
    </xf>
    <xf numFmtId="0" fontId="18" fillId="17" borderId="0" xfId="0" applyFont="1" applyFill="1" applyAlignment="1">
      <alignment horizontal="center" vertical="center"/>
    </xf>
    <xf numFmtId="0" fontId="54" fillId="17" borderId="0" xfId="0" applyFont="1" applyFill="1" applyAlignment="1">
      <alignment horizontal="center" vertical="center"/>
    </xf>
    <xf numFmtId="0" fontId="2" fillId="17"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horizontal="center" wrapText="1"/>
    </xf>
    <xf numFmtId="49" fontId="52" fillId="0" borderId="0" xfId="2" applyNumberFormat="1" applyFont="1" applyAlignment="1">
      <alignment horizontal="left"/>
    </xf>
    <xf numFmtId="0" fontId="41" fillId="0" borderId="0" xfId="2" applyFont="1" applyAlignment="1">
      <alignment horizontal="left"/>
    </xf>
    <xf numFmtId="0" fontId="52" fillId="0" borderId="0" xfId="2" applyFont="1" applyAlignment="1">
      <alignment horizontal="left"/>
    </xf>
    <xf numFmtId="0" fontId="39" fillId="0" borderId="0" xfId="2" applyFont="1" applyAlignment="1">
      <alignment horizontal="center" vertical="center"/>
    </xf>
    <xf numFmtId="0" fontId="41" fillId="0" borderId="0" xfId="2" applyFont="1" applyAlignment="1">
      <alignment horizontal="center" vertical="center"/>
    </xf>
    <xf numFmtId="0" fontId="41" fillId="0" borderId="42" xfId="2" applyFont="1" applyBorder="1" applyAlignment="1">
      <alignment horizontal="center" vertical="center"/>
    </xf>
    <xf numFmtId="0" fontId="41" fillId="0" borderId="18" xfId="2" applyFont="1" applyBorder="1" applyAlignment="1">
      <alignment horizontal="center" vertical="center"/>
    </xf>
    <xf numFmtId="0" fontId="41" fillId="0" borderId="11" xfId="2" applyFont="1" applyBorder="1" applyAlignment="1">
      <alignment horizontal="center" vertical="center"/>
    </xf>
    <xf numFmtId="0" fontId="41" fillId="0" borderId="40" xfId="2" applyFont="1" applyBorder="1" applyAlignment="1">
      <alignment horizontal="center" vertical="center"/>
    </xf>
    <xf numFmtId="0" fontId="41" fillId="0" borderId="35" xfId="2" applyFont="1" applyBorder="1" applyAlignment="1">
      <alignment horizontal="center" vertical="center"/>
    </xf>
    <xf numFmtId="0" fontId="52" fillId="0" borderId="0" xfId="2" applyNumberFormat="1" applyFont="1" applyAlignment="1">
      <alignment horizontal="left"/>
    </xf>
    <xf numFmtId="0" fontId="41" fillId="0" borderId="55" xfId="2" applyFont="1" applyBorder="1" applyAlignment="1">
      <alignment horizontal="center" vertical="center"/>
    </xf>
    <xf numFmtId="49" fontId="41" fillId="0" borderId="0" xfId="2" applyNumberFormat="1" applyFont="1" applyAlignment="1">
      <alignment horizontal="left"/>
    </xf>
    <xf numFmtId="0" fontId="5" fillId="0" borderId="0" xfId="0" applyFont="1" applyAlignment="1">
      <alignment horizontal="center"/>
    </xf>
    <xf numFmtId="11" fontId="41" fillId="0" borderId="51" xfId="2" applyNumberFormat="1" applyFont="1" applyBorder="1" applyAlignment="1">
      <alignment horizontal="center" vertical="center"/>
    </xf>
    <xf numFmtId="0" fontId="41" fillId="0" borderId="0" xfId="2" applyNumberFormat="1" applyFont="1" applyAlignment="1">
      <alignment horizontal="left"/>
    </xf>
    <xf numFmtId="0" fontId="2" fillId="0" borderId="53" xfId="0" applyFont="1" applyBorder="1" applyAlignment="1">
      <alignment horizontal="left" vertical="center" indent="2"/>
    </xf>
    <xf numFmtId="0" fontId="2" fillId="0" borderId="36" xfId="0" applyFont="1" applyBorder="1" applyAlignment="1">
      <alignment horizontal="left" vertical="center" indent="2"/>
    </xf>
    <xf numFmtId="9" fontId="32" fillId="0" borderId="21" xfId="0" applyNumberFormat="1" applyFont="1" applyBorder="1" applyAlignment="1">
      <alignment horizontal="center" vertical="center"/>
    </xf>
    <xf numFmtId="9" fontId="32" fillId="0" borderId="22" xfId="0" applyNumberFormat="1" applyFont="1" applyBorder="1" applyAlignment="1">
      <alignment horizontal="center" vertical="center"/>
    </xf>
    <xf numFmtId="9" fontId="32" fillId="0" borderId="23" xfId="0" applyNumberFormat="1" applyFont="1" applyBorder="1" applyAlignment="1">
      <alignment horizontal="center" vertical="center"/>
    </xf>
    <xf numFmtId="0" fontId="5" fillId="7" borderId="29" xfId="0" applyFont="1" applyFill="1" applyBorder="1" applyAlignment="1">
      <alignment horizontal="center"/>
    </xf>
    <xf numFmtId="0" fontId="5" fillId="7" borderId="31" xfId="0" applyFont="1" applyFill="1" applyBorder="1" applyAlignment="1">
      <alignment horizontal="center"/>
    </xf>
    <xf numFmtId="0" fontId="10" fillId="7" borderId="29" xfId="0" applyFont="1" applyFill="1" applyBorder="1" applyAlignment="1">
      <alignment horizontal="center"/>
    </xf>
    <xf numFmtId="0" fontId="10" fillId="7" borderId="31" xfId="0" applyFont="1" applyFill="1" applyBorder="1" applyAlignment="1">
      <alignment horizont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50" xfId="0" applyFont="1" applyBorder="1" applyAlignment="1">
      <alignment horizontal="left" vertical="center" wrapText="1" indent="2"/>
    </xf>
    <xf numFmtId="0" fontId="2" fillId="0" borderId="39" xfId="0" applyFont="1" applyBorder="1" applyAlignment="1">
      <alignment horizontal="left" vertical="center" wrapText="1" indent="2"/>
    </xf>
    <xf numFmtId="0" fontId="21" fillId="3" borderId="21" xfId="0" applyFont="1" applyFill="1" applyBorder="1" applyAlignment="1">
      <alignment horizontal="center" vertical="center" textRotation="255"/>
    </xf>
    <xf numFmtId="0" fontId="21" fillId="3" borderId="22" xfId="0" applyFont="1" applyFill="1" applyBorder="1" applyAlignment="1">
      <alignment horizontal="center" vertical="center" textRotation="255"/>
    </xf>
    <xf numFmtId="0" fontId="21" fillId="3" borderId="44" xfId="0" applyFont="1" applyFill="1" applyBorder="1" applyAlignment="1">
      <alignment horizontal="center" vertical="center" textRotation="255"/>
    </xf>
    <xf numFmtId="0" fontId="21" fillId="3" borderId="23" xfId="0" applyFont="1" applyFill="1" applyBorder="1" applyAlignment="1">
      <alignment horizontal="center" vertical="center" textRotation="255"/>
    </xf>
    <xf numFmtId="1" fontId="10" fillId="7" borderId="29" xfId="0" applyNumberFormat="1" applyFont="1" applyFill="1" applyBorder="1" applyAlignment="1">
      <alignment horizontal="center"/>
    </xf>
    <xf numFmtId="1" fontId="10" fillId="7" borderId="31" xfId="0" applyNumberFormat="1" applyFont="1" applyFill="1" applyBorder="1" applyAlignment="1">
      <alignment horizontal="center"/>
    </xf>
    <xf numFmtId="0" fontId="2" fillId="2" borderId="29"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6" fillId="0" borderId="21"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23" xfId="0" applyFont="1" applyBorder="1" applyAlignment="1">
      <alignment horizontal="center" vertical="center" wrapText="1"/>
    </xf>
    <xf numFmtId="0" fontId="2" fillId="0" borderId="50" xfId="0" applyFont="1" applyBorder="1" applyAlignment="1">
      <alignment horizontal="left" vertical="center" indent="2"/>
    </xf>
    <xf numFmtId="0" fontId="2" fillId="0" borderId="39" xfId="0" applyFont="1" applyBorder="1" applyAlignment="1">
      <alignment horizontal="left" vertical="center" indent="2"/>
    </xf>
    <xf numFmtId="0" fontId="2" fillId="0" borderId="53" xfId="0" applyFont="1" applyBorder="1" applyAlignment="1">
      <alignment horizontal="left" indent="2"/>
    </xf>
    <xf numFmtId="0" fontId="2" fillId="0" borderId="36" xfId="0" applyFont="1" applyBorder="1" applyAlignment="1">
      <alignment horizontal="left" indent="2"/>
    </xf>
    <xf numFmtId="0" fontId="26" fillId="3" borderId="21" xfId="0" applyFont="1" applyFill="1" applyBorder="1" applyAlignment="1">
      <alignment horizontal="center" vertical="center" textRotation="255"/>
    </xf>
    <xf numFmtId="0" fontId="26" fillId="3" borderId="22" xfId="0" applyFont="1" applyFill="1" applyBorder="1" applyAlignment="1">
      <alignment horizontal="center" vertical="center" textRotation="255"/>
    </xf>
    <xf numFmtId="0" fontId="26" fillId="3" borderId="23" xfId="0" applyFont="1" applyFill="1" applyBorder="1" applyAlignment="1">
      <alignment horizontal="center" vertical="center" textRotation="255"/>
    </xf>
    <xf numFmtId="0" fontId="2" fillId="0" borderId="52" xfId="0" applyFont="1" applyBorder="1" applyAlignment="1">
      <alignment horizontal="left" vertical="center" indent="2"/>
    </xf>
    <xf numFmtId="0" fontId="2" fillId="0" borderId="37" xfId="0" applyFont="1" applyBorder="1" applyAlignment="1">
      <alignment horizontal="left" vertical="center" indent="2"/>
    </xf>
    <xf numFmtId="0" fontId="2" fillId="0" borderId="58" xfId="0" applyFont="1" applyBorder="1" applyAlignment="1">
      <alignment horizontal="left" vertical="center" indent="2"/>
    </xf>
    <xf numFmtId="0" fontId="2" fillId="0" borderId="34" xfId="0" applyFont="1" applyBorder="1" applyAlignment="1">
      <alignment horizontal="left" vertical="center" indent="2"/>
    </xf>
    <xf numFmtId="0" fontId="2" fillId="3" borderId="21"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23" xfId="0" applyFont="1" applyFill="1" applyBorder="1" applyAlignment="1">
      <alignment horizontal="center" vertical="center"/>
    </xf>
    <xf numFmtId="0" fontId="22" fillId="3" borderId="21" xfId="0" applyFont="1" applyFill="1" applyBorder="1" applyAlignment="1">
      <alignment horizontal="center" vertical="center" textRotation="255"/>
    </xf>
    <xf numFmtId="0" fontId="22" fillId="3" borderId="22" xfId="0" applyFont="1" applyFill="1" applyBorder="1" applyAlignment="1">
      <alignment horizontal="center" vertical="center" textRotation="255"/>
    </xf>
    <xf numFmtId="0" fontId="2" fillId="0" borderId="52" xfId="0" applyFont="1" applyBorder="1" applyAlignment="1">
      <alignment horizontal="left" indent="2"/>
    </xf>
    <xf numFmtId="0" fontId="2" fillId="0" borderId="37" xfId="0" applyFont="1" applyBorder="1" applyAlignment="1">
      <alignment horizontal="left" indent="2"/>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6" fillId="3" borderId="21" xfId="0" applyFont="1" applyFill="1" applyBorder="1" applyAlignment="1">
      <alignment horizontal="center" vertical="center" wrapText="1"/>
    </xf>
    <xf numFmtId="0" fontId="26" fillId="3" borderId="23" xfId="0" applyFont="1" applyFill="1" applyBorder="1" applyAlignment="1">
      <alignment horizontal="center" vertical="center" wrapText="1"/>
    </xf>
    <xf numFmtId="0" fontId="26" fillId="3" borderId="22" xfId="0" applyFont="1" applyFill="1" applyBorder="1" applyAlignment="1">
      <alignment horizontal="center" vertical="center" wrapText="1"/>
    </xf>
    <xf numFmtId="0" fontId="26" fillId="3" borderId="54" xfId="0" applyFont="1" applyFill="1" applyBorder="1" applyAlignment="1">
      <alignment horizontal="center" vertical="center" wrapText="1"/>
    </xf>
    <xf numFmtId="0" fontId="41" fillId="0" borderId="56" xfId="2" applyFont="1" applyBorder="1" applyAlignment="1">
      <alignment horizontal="center"/>
    </xf>
    <xf numFmtId="0" fontId="41" fillId="0" borderId="18" xfId="2" applyFont="1" applyBorder="1" applyAlignment="1">
      <alignment horizontal="center"/>
    </xf>
    <xf numFmtId="0" fontId="41" fillId="0" borderId="56" xfId="2" quotePrefix="1" applyFont="1" applyBorder="1" applyAlignment="1">
      <alignment horizontal="center"/>
    </xf>
    <xf numFmtId="0" fontId="41" fillId="0" borderId="55" xfId="2" applyFont="1" applyBorder="1" applyAlignment="1">
      <alignment horizontal="center" vertical="center" wrapText="1"/>
    </xf>
    <xf numFmtId="0" fontId="41" fillId="0" borderId="42" xfId="2" applyFont="1" applyBorder="1" applyAlignment="1">
      <alignment horizontal="center" vertical="center" wrapText="1"/>
    </xf>
    <xf numFmtId="49" fontId="41" fillId="0" borderId="0" xfId="2" applyNumberFormat="1" applyFont="1" applyBorder="1" applyAlignment="1">
      <alignment horizontal="left"/>
    </xf>
    <xf numFmtId="0" fontId="41" fillId="0" borderId="0" xfId="2" applyNumberFormat="1" applyFont="1" applyBorder="1" applyAlignment="1">
      <alignment horizontal="left"/>
    </xf>
    <xf numFmtId="0" fontId="44" fillId="0" borderId="0" xfId="2" applyFont="1" applyAlignment="1">
      <alignment horizontal="center"/>
    </xf>
    <xf numFmtId="0" fontId="45" fillId="0" borderId="0" xfId="2" applyFont="1" applyAlignment="1">
      <alignment horizontal="center" vertical="center"/>
    </xf>
    <xf numFmtId="0" fontId="41" fillId="11" borderId="55" xfId="2" applyFont="1" applyFill="1" applyBorder="1" applyAlignment="1">
      <alignment horizontal="center" vertical="center"/>
    </xf>
    <xf numFmtId="0" fontId="41" fillId="11" borderId="42" xfId="2" applyFont="1" applyFill="1" applyBorder="1" applyAlignment="1">
      <alignment horizontal="center" vertical="center"/>
    </xf>
    <xf numFmtId="0" fontId="15" fillId="0" borderId="53" xfId="0" applyFont="1" applyBorder="1" applyAlignment="1">
      <alignment horizontal="left" vertical="center" indent="2"/>
    </xf>
    <xf numFmtId="0" fontId="15" fillId="0" borderId="18" xfId="0" applyFont="1" applyBorder="1" applyAlignment="1">
      <alignment horizontal="left" vertical="center" indent="2"/>
    </xf>
    <xf numFmtId="0" fontId="15" fillId="0" borderId="41" xfId="0" applyFont="1" applyBorder="1" applyAlignment="1">
      <alignment horizontal="left" vertical="center" indent="2"/>
    </xf>
    <xf numFmtId="0" fontId="15" fillId="0" borderId="50" xfId="0" applyFont="1" applyBorder="1" applyAlignment="1">
      <alignment horizontal="left" vertical="center" indent="2"/>
    </xf>
    <xf numFmtId="0" fontId="15" fillId="0" borderId="51" xfId="0" applyFont="1" applyBorder="1" applyAlignment="1">
      <alignment horizontal="left" vertical="center" indent="2"/>
    </xf>
    <xf numFmtId="0" fontId="15" fillId="0" borderId="61" xfId="0" applyFont="1" applyBorder="1" applyAlignment="1">
      <alignment horizontal="left" vertical="center" indent="2"/>
    </xf>
    <xf numFmtId="0" fontId="15" fillId="7" borderId="29" xfId="0" applyFont="1" applyFill="1" applyBorder="1" applyAlignment="1">
      <alignment horizontal="left" indent="3"/>
    </xf>
    <xf numFmtId="0" fontId="15" fillId="7" borderId="30" xfId="0" applyFont="1" applyFill="1" applyBorder="1" applyAlignment="1">
      <alignment horizontal="left" indent="3"/>
    </xf>
    <xf numFmtId="0" fontId="15" fillId="7" borderId="31" xfId="0" applyFont="1" applyFill="1" applyBorder="1" applyAlignment="1">
      <alignment horizontal="left" indent="3"/>
    </xf>
    <xf numFmtId="0" fontId="15" fillId="0" borderId="8" xfId="0" applyFont="1" applyBorder="1" applyAlignment="1">
      <alignment horizontal="left" vertical="center" indent="2"/>
    </xf>
    <xf numFmtId="0" fontId="15" fillId="0" borderId="49" xfId="0" applyFont="1" applyBorder="1" applyAlignment="1">
      <alignment horizontal="left" vertical="center" indent="2"/>
    </xf>
    <xf numFmtId="0" fontId="15" fillId="0" borderId="64" xfId="0" applyFont="1" applyBorder="1" applyAlignment="1">
      <alignment horizontal="left" vertical="center" indent="2"/>
    </xf>
    <xf numFmtId="0" fontId="15" fillId="0" borderId="17" xfId="0" applyFont="1" applyBorder="1" applyAlignment="1">
      <alignment horizontal="left" vertical="center" indent="2"/>
    </xf>
    <xf numFmtId="0" fontId="15" fillId="5" borderId="29" xfId="0" applyFont="1" applyFill="1" applyBorder="1" applyAlignment="1">
      <alignment horizontal="center" vertical="center" wrapText="1"/>
    </xf>
    <xf numFmtId="0" fontId="15" fillId="5" borderId="30" xfId="0" applyFont="1" applyFill="1" applyBorder="1" applyAlignment="1">
      <alignment horizontal="center" vertical="center" wrapText="1"/>
    </xf>
    <xf numFmtId="0" fontId="15" fillId="5" borderId="31" xfId="0" applyFont="1" applyFill="1" applyBorder="1" applyAlignment="1">
      <alignment horizontal="center" vertical="center" wrapText="1"/>
    </xf>
    <xf numFmtId="0" fontId="15" fillId="0" borderId="52" xfId="0" applyFont="1" applyBorder="1" applyAlignment="1">
      <alignment horizontal="left" vertical="center" indent="2"/>
    </xf>
    <xf numFmtId="0" fontId="15" fillId="0" borderId="58" xfId="0" applyFont="1" applyBorder="1" applyAlignment="1">
      <alignment horizontal="left" vertical="center" indent="2"/>
    </xf>
    <xf numFmtId="0" fontId="15" fillId="0" borderId="55" xfId="0" applyFont="1" applyBorder="1" applyAlignment="1">
      <alignment horizontal="left" vertical="center" indent="2"/>
    </xf>
    <xf numFmtId="0" fontId="15" fillId="0" borderId="59" xfId="0" applyFont="1" applyBorder="1" applyAlignment="1">
      <alignment horizontal="left" vertical="center" indent="2"/>
    </xf>
    <xf numFmtId="0" fontId="15" fillId="0" borderId="57" xfId="0" applyFont="1" applyBorder="1" applyAlignment="1">
      <alignment horizontal="left" vertical="center" indent="2"/>
    </xf>
    <xf numFmtId="0" fontId="15" fillId="0" borderId="56" xfId="0" applyFont="1" applyBorder="1" applyAlignment="1">
      <alignment horizontal="left" vertical="center" indent="2"/>
    </xf>
    <xf numFmtId="0" fontId="15" fillId="0" borderId="60" xfId="0" applyFont="1" applyBorder="1" applyAlignment="1">
      <alignment horizontal="left" vertical="center" indent="2"/>
    </xf>
    <xf numFmtId="0" fontId="15" fillId="7" borderId="1" xfId="0" applyFont="1" applyFill="1" applyBorder="1" applyAlignment="1">
      <alignment horizontal="left" indent="3"/>
    </xf>
    <xf numFmtId="0" fontId="14" fillId="0" borderId="41" xfId="0" applyFont="1" applyBorder="1" applyAlignment="1">
      <alignment horizontal="center" vertical="center"/>
    </xf>
    <xf numFmtId="0" fontId="14" fillId="0" borderId="61" xfId="0" applyFont="1" applyBorder="1" applyAlignment="1">
      <alignment horizontal="center" vertical="center"/>
    </xf>
    <xf numFmtId="0" fontId="14" fillId="0" borderId="9" xfId="0" applyFont="1" applyBorder="1" applyAlignment="1">
      <alignment horizontal="center" vertical="center"/>
    </xf>
    <xf numFmtId="0" fontId="15" fillId="0" borderId="8" xfId="0" applyFont="1" applyBorder="1" applyAlignment="1">
      <alignment horizontal="left" indent="2"/>
    </xf>
    <xf numFmtId="0" fontId="15" fillId="0" borderId="49" xfId="0" applyFont="1" applyBorder="1" applyAlignment="1">
      <alignment horizontal="left" indent="2"/>
    </xf>
    <xf numFmtId="0" fontId="15" fillId="0" borderId="64" xfId="0" applyFont="1" applyBorder="1" applyAlignment="1">
      <alignment horizontal="left" indent="2"/>
    </xf>
    <xf numFmtId="0" fontId="15" fillId="6" borderId="54" xfId="0" applyFont="1" applyFill="1" applyBorder="1" applyAlignment="1">
      <alignment horizontal="center" vertical="center" wrapText="1"/>
    </xf>
    <xf numFmtId="0" fontId="15" fillId="6" borderId="43" xfId="0" applyFont="1" applyFill="1" applyBorder="1" applyAlignment="1">
      <alignment horizontal="center" vertical="center" wrapText="1"/>
    </xf>
    <xf numFmtId="0" fontId="15" fillId="6" borderId="47" xfId="0" applyFont="1" applyFill="1" applyBorder="1" applyAlignment="1">
      <alignment horizontal="center" vertical="center" wrapText="1"/>
    </xf>
    <xf numFmtId="0" fontId="15" fillId="6" borderId="68" xfId="0" applyFont="1" applyFill="1" applyBorder="1" applyAlignment="1">
      <alignment horizontal="center" vertical="center" textRotation="255"/>
    </xf>
    <xf numFmtId="0" fontId="15" fillId="6" borderId="69" xfId="0" applyFont="1" applyFill="1" applyBorder="1" applyAlignment="1">
      <alignment horizontal="center" vertical="center" textRotation="255"/>
    </xf>
    <xf numFmtId="0" fontId="15" fillId="6" borderId="74" xfId="0" applyFont="1" applyFill="1" applyBorder="1" applyAlignment="1">
      <alignment horizontal="center" vertical="center" textRotation="255"/>
    </xf>
    <xf numFmtId="9" fontId="32" fillId="0" borderId="68" xfId="0" applyNumberFormat="1" applyFont="1" applyBorder="1" applyAlignment="1">
      <alignment horizontal="center" vertical="center"/>
    </xf>
    <xf numFmtId="9" fontId="32" fillId="0" borderId="69" xfId="0" applyNumberFormat="1" applyFont="1" applyBorder="1" applyAlignment="1">
      <alignment horizontal="center" vertical="center"/>
    </xf>
    <xf numFmtId="9" fontId="32" fillId="0" borderId="74" xfId="0" applyNumberFormat="1" applyFont="1" applyBorder="1" applyAlignment="1">
      <alignment horizontal="center" vertical="center"/>
    </xf>
    <xf numFmtId="0" fontId="14" fillId="0" borderId="63" xfId="0" applyFont="1" applyBorder="1" applyAlignment="1">
      <alignment horizontal="center" vertical="center"/>
    </xf>
    <xf numFmtId="0" fontId="11" fillId="0" borderId="1" xfId="0" applyFont="1" applyBorder="1" applyAlignment="1">
      <alignment horizontal="center"/>
    </xf>
    <xf numFmtId="0" fontId="15" fillId="0" borderId="17" xfId="0" applyFont="1" applyBorder="1" applyAlignment="1">
      <alignment horizontal="left" indent="2"/>
    </xf>
    <xf numFmtId="0" fontId="15" fillId="0" borderId="18" xfId="0" applyFont="1" applyBorder="1" applyAlignment="1">
      <alignment horizontal="left" indent="2"/>
    </xf>
    <xf numFmtId="0" fontId="15" fillId="0" borderId="41" xfId="0" applyFont="1" applyBorder="1" applyAlignment="1">
      <alignment horizontal="left" indent="2"/>
    </xf>
    <xf numFmtId="0" fontId="15" fillId="0" borderId="11" xfId="0" applyFont="1" applyBorder="1" applyAlignment="1">
      <alignment horizontal="left" vertical="center" indent="2"/>
    </xf>
    <xf numFmtId="0" fontId="15" fillId="0" borderId="14" xfId="0" applyFont="1" applyBorder="1" applyAlignment="1">
      <alignment horizontal="left" vertical="center" indent="2"/>
    </xf>
    <xf numFmtId="0" fontId="15" fillId="0" borderId="35" xfId="0" applyFont="1" applyBorder="1" applyAlignment="1">
      <alignment horizontal="left" vertical="center" indent="2"/>
    </xf>
    <xf numFmtId="0" fontId="15" fillId="0" borderId="42" xfId="0" applyFont="1" applyBorder="1" applyAlignment="1">
      <alignment horizontal="left" vertical="center" indent="2"/>
    </xf>
    <xf numFmtId="0" fontId="15" fillId="0" borderId="48" xfId="0" applyFont="1" applyBorder="1" applyAlignment="1">
      <alignment horizontal="left" vertical="center" indent="2"/>
    </xf>
    <xf numFmtId="0" fontId="15" fillId="5" borderId="90" xfId="0" applyFont="1" applyFill="1" applyBorder="1" applyAlignment="1">
      <alignment horizontal="center" vertical="center" wrapText="1"/>
    </xf>
    <xf numFmtId="0" fontId="27" fillId="6" borderId="68" xfId="0" applyFont="1" applyFill="1" applyBorder="1" applyAlignment="1">
      <alignment horizontal="center" vertical="center" wrapText="1"/>
    </xf>
    <xf numFmtId="0" fontId="27" fillId="6" borderId="69" xfId="0" applyFont="1" applyFill="1" applyBorder="1" applyAlignment="1">
      <alignment horizontal="center" vertical="center" wrapText="1"/>
    </xf>
    <xf numFmtId="0" fontId="27" fillId="6" borderId="74" xfId="0" applyFont="1" applyFill="1" applyBorder="1" applyAlignment="1">
      <alignment horizontal="center" vertical="center" wrapText="1"/>
    </xf>
    <xf numFmtId="0" fontId="14" fillId="0" borderId="19" xfId="0" applyFont="1" applyBorder="1" applyAlignment="1">
      <alignment horizontal="center" vertical="center"/>
    </xf>
    <xf numFmtId="0" fontId="8" fillId="0" borderId="56"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54" xfId="0" applyFont="1" applyBorder="1" applyAlignment="1">
      <alignment horizontal="center" vertical="center" wrapText="1"/>
    </xf>
    <xf numFmtId="0" fontId="8" fillId="0" borderId="47" xfId="0" applyFont="1" applyBorder="1" applyAlignment="1">
      <alignment horizontal="center" vertical="center" wrapText="1"/>
    </xf>
    <xf numFmtId="0" fontId="8" fillId="0" borderId="43" xfId="0" applyFont="1" applyBorder="1" applyAlignment="1">
      <alignment horizontal="center" vertical="center" wrapText="1"/>
    </xf>
    <xf numFmtId="0" fontId="8" fillId="3" borderId="54" xfId="0" applyFont="1" applyFill="1" applyBorder="1" applyAlignment="1">
      <alignment horizontal="center" vertical="center" wrapText="1"/>
    </xf>
    <xf numFmtId="0" fontId="8" fillId="3" borderId="47" xfId="0" applyFont="1" applyFill="1" applyBorder="1" applyAlignment="1">
      <alignment horizontal="center" vertical="center" wrapText="1"/>
    </xf>
    <xf numFmtId="0" fontId="8" fillId="3" borderId="43" xfId="0" applyFont="1" applyFill="1" applyBorder="1" applyAlignment="1">
      <alignment horizontal="center" vertical="center" wrapText="1"/>
    </xf>
    <xf numFmtId="0" fontId="8" fillId="3" borderId="56"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31" xfId="0" applyFont="1" applyBorder="1" applyAlignment="1">
      <alignment horizontal="center" vertical="center"/>
    </xf>
    <xf numFmtId="0" fontId="25" fillId="8" borderId="87" xfId="0" applyFont="1" applyFill="1" applyBorder="1" applyAlignment="1">
      <alignment horizontal="center" vertical="center" textRotation="255"/>
    </xf>
    <xf numFmtId="0" fontId="25" fillId="8" borderId="63" xfId="0" applyFont="1" applyFill="1" applyBorder="1" applyAlignment="1">
      <alignment horizontal="center" vertical="center" textRotation="255"/>
    </xf>
    <xf numFmtId="0" fontId="25" fillId="8" borderId="88" xfId="0" applyFont="1" applyFill="1" applyBorder="1" applyAlignment="1">
      <alignment horizontal="center" vertical="center" textRotation="255"/>
    </xf>
    <xf numFmtId="0" fontId="22" fillId="7" borderId="87" xfId="0" applyFont="1" applyFill="1" applyBorder="1" applyAlignment="1">
      <alignment horizontal="center" vertical="center" wrapText="1"/>
    </xf>
    <xf numFmtId="0" fontId="22" fillId="7" borderId="63" xfId="0" applyFont="1" applyFill="1" applyBorder="1" applyAlignment="1">
      <alignment horizontal="center" vertical="center" wrapText="1"/>
    </xf>
    <xf numFmtId="0" fontId="22" fillId="7" borderId="88" xfId="0" applyFont="1" applyFill="1" applyBorder="1" applyAlignment="1">
      <alignment horizontal="center" vertical="center" wrapText="1"/>
    </xf>
    <xf numFmtId="0" fontId="2" fillId="0" borderId="0" xfId="0" applyFont="1" applyBorder="1" applyAlignment="1">
      <alignment horizontal="left" indent="2"/>
    </xf>
    <xf numFmtId="0" fontId="2" fillId="0" borderId="0" xfId="0" applyFont="1" applyBorder="1" applyAlignment="1">
      <alignment horizontal="left" vertical="center" indent="2"/>
    </xf>
    <xf numFmtId="0" fontId="18" fillId="0" borderId="0" xfId="0" applyFont="1" applyFill="1" applyAlignment="1">
      <alignment horizontal="center" vertical="center"/>
    </xf>
    <xf numFmtId="0" fontId="18" fillId="0" borderId="0" xfId="0" applyFont="1" applyAlignment="1">
      <alignment horizontal="center" vertical="center"/>
    </xf>
    <xf numFmtId="0" fontId="18" fillId="15" borderId="0" xfId="0" applyFont="1" applyFill="1" applyAlignment="1">
      <alignment horizontal="center" vertical="center"/>
    </xf>
    <xf numFmtId="0" fontId="18" fillId="14" borderId="0" xfId="0" applyFont="1" applyFill="1" applyAlignment="1">
      <alignment horizontal="center" vertical="center"/>
    </xf>
    <xf numFmtId="0" fontId="18" fillId="0" borderId="0" xfId="0" applyFont="1" applyAlignment="1">
      <alignment horizontal="center" vertical="center" wrapText="1"/>
    </xf>
    <xf numFmtId="0" fontId="18" fillId="12" borderId="0" xfId="0" applyFont="1" applyFill="1" applyAlignment="1">
      <alignment horizontal="center" vertical="center"/>
    </xf>
    <xf numFmtId="0" fontId="18" fillId="13" borderId="0" xfId="0" applyFont="1" applyFill="1" applyAlignment="1">
      <alignment horizontal="center" vertical="center"/>
    </xf>
  </cellXfs>
  <cellStyles count="3">
    <cellStyle name="Normal" xfId="0" builtinId="0"/>
    <cellStyle name="Normal 12" xfId="2"/>
    <cellStyle name="Pourcentage" xfId="1" builtinId="5"/>
  </cellStyles>
  <dxfs count="6">
    <dxf>
      <font>
        <b val="0"/>
        <i val="0"/>
        <strike val="0"/>
        <condense val="0"/>
        <extend val="0"/>
        <outline val="0"/>
        <shadow val="0"/>
        <u val="none"/>
        <vertAlign val="baseline"/>
        <sz val="11"/>
        <color theme="1"/>
        <name val="Times New Roman"/>
        <scheme val="none"/>
      </font>
    </dxf>
    <dxf>
      <font>
        <b val="0"/>
        <i val="0"/>
        <strike val="0"/>
        <condense val="0"/>
        <extend val="0"/>
        <outline val="0"/>
        <shadow val="0"/>
        <u val="none"/>
        <vertAlign val="baseline"/>
        <sz val="11"/>
        <color theme="1"/>
        <name val="Times New Roman"/>
        <scheme val="none"/>
      </font>
    </dxf>
    <dxf>
      <font>
        <b val="0"/>
        <i val="0"/>
        <strike val="0"/>
        <condense val="0"/>
        <extend val="0"/>
        <outline val="0"/>
        <shadow val="0"/>
        <u val="none"/>
        <vertAlign val="baseline"/>
        <sz val="11"/>
        <color theme="1"/>
        <name val="Times New Roman"/>
        <scheme val="none"/>
      </font>
    </dxf>
    <dxf>
      <font>
        <b val="0"/>
        <i val="0"/>
        <strike val="0"/>
        <condense val="0"/>
        <extend val="0"/>
        <outline val="0"/>
        <shadow val="0"/>
        <u val="none"/>
        <vertAlign val="baseline"/>
        <sz val="11"/>
        <color theme="1"/>
        <name val="Times New Roman"/>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Times New Roman"/>
        <scheme val="none"/>
      </font>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Tendance</a:t>
            </a:r>
            <a:r>
              <a:rPr lang="en-US" baseline="0"/>
              <a:t> Activité - </a:t>
            </a:r>
            <a:r>
              <a:rPr lang="en-US"/>
              <a:t>Entreprise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lineChart>
        <c:grouping val="standard"/>
        <c:varyColors val="0"/>
        <c:ser>
          <c:idx val="0"/>
          <c:order val="0"/>
          <c:tx>
            <c:v>Positionnement concurrentiel sur le marché</c:v>
          </c:tx>
          <c:spPr>
            <a:ln w="28575" cap="rnd">
              <a:solidFill>
                <a:schemeClr val="accent1"/>
              </a:solidFill>
              <a:round/>
            </a:ln>
            <a:effectLst/>
          </c:spPr>
          <c:marker>
            <c:symbol val="none"/>
          </c:marker>
          <c:val>
            <c:numRef>
              <c:f>'Tendances et prévisions'!$C$8:$E$8</c:f>
              <c:numCache>
                <c:formatCode>General</c:formatCode>
                <c:ptCount val="3"/>
                <c:pt idx="0">
                  <c:v>0</c:v>
                </c:pt>
                <c:pt idx="1">
                  <c:v>0</c:v>
                </c:pt>
                <c:pt idx="2">
                  <c:v>0</c:v>
                </c:pt>
              </c:numCache>
            </c:numRef>
          </c:val>
          <c:smooth val="0"/>
        </c:ser>
        <c:ser>
          <c:idx val="1"/>
          <c:order val="1"/>
          <c:tx>
            <c:v>Tendance structurelle du marché</c:v>
          </c:tx>
          <c:spPr>
            <a:ln w="28575" cap="rnd">
              <a:solidFill>
                <a:schemeClr val="accent2"/>
              </a:solidFill>
              <a:round/>
            </a:ln>
            <a:effectLst/>
          </c:spPr>
          <c:marker>
            <c:symbol val="none"/>
          </c:marker>
          <c:val>
            <c:numRef>
              <c:f>'Tendances et prévisions'!$C$10:$E$10</c:f>
              <c:numCache>
                <c:formatCode>General</c:formatCode>
                <c:ptCount val="3"/>
                <c:pt idx="0">
                  <c:v>0</c:v>
                </c:pt>
                <c:pt idx="1">
                  <c:v>0</c:v>
                </c:pt>
                <c:pt idx="2">
                  <c:v>0</c:v>
                </c:pt>
              </c:numCache>
            </c:numRef>
          </c:val>
          <c:smooth val="0"/>
        </c:ser>
        <c:ser>
          <c:idx val="2"/>
          <c:order val="2"/>
          <c:tx>
            <c:v>Marchés cycliques ou à prix volatils</c:v>
          </c:tx>
          <c:spPr>
            <a:ln w="28575" cap="rnd">
              <a:solidFill>
                <a:schemeClr val="accent3"/>
              </a:solidFill>
              <a:round/>
            </a:ln>
            <a:effectLst/>
          </c:spPr>
          <c:marker>
            <c:symbol val="none"/>
          </c:marker>
          <c:val>
            <c:numRef>
              <c:f>'Tendances et prévisions'!$C$14:$E$14</c:f>
              <c:numCache>
                <c:formatCode>General</c:formatCode>
                <c:ptCount val="3"/>
                <c:pt idx="0">
                  <c:v>0</c:v>
                </c:pt>
                <c:pt idx="1">
                  <c:v>0</c:v>
                </c:pt>
                <c:pt idx="2">
                  <c:v>0</c:v>
                </c:pt>
              </c:numCache>
            </c:numRef>
          </c:val>
          <c:smooth val="0"/>
        </c:ser>
        <c:ser>
          <c:idx val="3"/>
          <c:order val="3"/>
          <c:tx>
            <c:v>Portefeuille produit</c:v>
          </c:tx>
          <c:spPr>
            <a:ln w="28575" cap="rnd">
              <a:solidFill>
                <a:schemeClr val="accent4"/>
              </a:solidFill>
              <a:round/>
            </a:ln>
            <a:effectLst/>
          </c:spPr>
          <c:marker>
            <c:symbol val="none"/>
          </c:marker>
          <c:val>
            <c:numRef>
              <c:f>'Tendances et prévisions'!$C$17:$E$17</c:f>
              <c:numCache>
                <c:formatCode>General</c:formatCode>
                <c:ptCount val="3"/>
                <c:pt idx="0">
                  <c:v>0</c:v>
                </c:pt>
                <c:pt idx="1">
                  <c:v>0</c:v>
                </c:pt>
                <c:pt idx="2">
                  <c:v>0</c:v>
                </c:pt>
              </c:numCache>
            </c:numRef>
          </c:val>
          <c:smooth val="0"/>
        </c:ser>
        <c:ser>
          <c:idx val="4"/>
          <c:order val="4"/>
          <c:tx>
            <c:v>Pression liée à la clientèle</c:v>
          </c:tx>
          <c:spPr>
            <a:ln w="28575" cap="rnd">
              <a:solidFill>
                <a:schemeClr val="accent5"/>
              </a:solidFill>
              <a:round/>
            </a:ln>
            <a:effectLst/>
          </c:spPr>
          <c:marker>
            <c:symbol val="none"/>
          </c:marker>
          <c:val>
            <c:numRef>
              <c:f>'Tendances et prévisions'!$C$20:$E$20</c:f>
              <c:numCache>
                <c:formatCode>General</c:formatCode>
                <c:ptCount val="3"/>
                <c:pt idx="0">
                  <c:v>0</c:v>
                </c:pt>
                <c:pt idx="1">
                  <c:v>0</c:v>
                </c:pt>
                <c:pt idx="2">
                  <c:v>0</c:v>
                </c:pt>
              </c:numCache>
            </c:numRef>
          </c:val>
          <c:smooth val="0"/>
        </c:ser>
        <c:ser>
          <c:idx val="5"/>
          <c:order val="5"/>
          <c:tx>
            <c:v>Barrières à l'entrée</c:v>
          </c:tx>
          <c:spPr>
            <a:ln w="28575" cap="rnd">
              <a:solidFill>
                <a:schemeClr val="accent6"/>
              </a:solidFill>
              <a:round/>
            </a:ln>
            <a:effectLst/>
          </c:spPr>
          <c:marker>
            <c:symbol val="none"/>
          </c:marker>
          <c:val>
            <c:numRef>
              <c:f>'Tendances et prévisions'!$C$24:$E$24</c:f>
              <c:numCache>
                <c:formatCode>General</c:formatCode>
                <c:ptCount val="3"/>
                <c:pt idx="0">
                  <c:v>0</c:v>
                </c:pt>
                <c:pt idx="1">
                  <c:v>0</c:v>
                </c:pt>
                <c:pt idx="2">
                  <c:v>0</c:v>
                </c:pt>
              </c:numCache>
            </c:numRef>
          </c:val>
          <c:smooth val="0"/>
        </c:ser>
        <c:ser>
          <c:idx val="6"/>
          <c:order val="6"/>
          <c:tx>
            <c:v>Visibilité sur le secteur</c:v>
          </c:tx>
          <c:spPr>
            <a:ln w="28575" cap="rnd">
              <a:solidFill>
                <a:schemeClr val="accent1">
                  <a:lumMod val="60000"/>
                </a:schemeClr>
              </a:solidFill>
              <a:round/>
            </a:ln>
            <a:effectLst/>
          </c:spPr>
          <c:marker>
            <c:symbol val="none"/>
          </c:marker>
          <c:val>
            <c:numRef>
              <c:f>'Tendances et prévisions'!$C$26:$E$26</c:f>
              <c:numCache>
                <c:formatCode>General</c:formatCode>
                <c:ptCount val="3"/>
                <c:pt idx="0">
                  <c:v>0</c:v>
                </c:pt>
                <c:pt idx="1">
                  <c:v>0</c:v>
                </c:pt>
                <c:pt idx="2">
                  <c:v>0</c:v>
                </c:pt>
              </c:numCache>
            </c:numRef>
          </c:val>
          <c:smooth val="0"/>
        </c:ser>
        <c:dLbls>
          <c:showLegendKey val="0"/>
          <c:showVal val="0"/>
          <c:showCatName val="0"/>
          <c:showSerName val="0"/>
          <c:showPercent val="0"/>
          <c:showBubbleSize val="0"/>
        </c:dLbls>
        <c:smooth val="0"/>
        <c:axId val="1663711456"/>
        <c:axId val="1663715808"/>
      </c:lineChart>
      <c:catAx>
        <c:axId val="16637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663715808"/>
        <c:crosses val="autoZero"/>
        <c:auto val="1"/>
        <c:lblAlgn val="ctr"/>
        <c:lblOffset val="100"/>
        <c:noMultiLvlLbl val="0"/>
      </c:catAx>
      <c:valAx>
        <c:axId val="166371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66371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Tendance</a:t>
            </a:r>
            <a:r>
              <a:rPr lang="en-US" baseline="0"/>
              <a:t> Activité</a:t>
            </a:r>
            <a:r>
              <a:rPr lang="en-US"/>
              <a:t> Entreprise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lineChart>
        <c:grouping val="standard"/>
        <c:varyColors val="0"/>
        <c:ser>
          <c:idx val="0"/>
          <c:order val="0"/>
          <c:tx>
            <c:v>Positionnement concurrentiel sur le marché</c:v>
          </c:tx>
          <c:spPr>
            <a:ln w="28575" cap="rnd">
              <a:solidFill>
                <a:schemeClr val="accent1"/>
              </a:solidFill>
              <a:round/>
            </a:ln>
            <a:effectLst/>
          </c:spPr>
          <c:marker>
            <c:symbol val="none"/>
          </c:marker>
          <c:val>
            <c:numRef>
              <c:f>'Tendances et prévisions'!$J$8:$L$8</c:f>
              <c:numCache>
                <c:formatCode>General</c:formatCode>
                <c:ptCount val="3"/>
                <c:pt idx="0">
                  <c:v>0</c:v>
                </c:pt>
                <c:pt idx="1">
                  <c:v>0</c:v>
                </c:pt>
                <c:pt idx="2">
                  <c:v>0</c:v>
                </c:pt>
              </c:numCache>
            </c:numRef>
          </c:val>
          <c:smooth val="0"/>
        </c:ser>
        <c:ser>
          <c:idx val="1"/>
          <c:order val="1"/>
          <c:tx>
            <c:v>Tendance structurelle du marché</c:v>
          </c:tx>
          <c:spPr>
            <a:ln w="28575" cap="rnd">
              <a:solidFill>
                <a:schemeClr val="accent2"/>
              </a:solidFill>
              <a:round/>
            </a:ln>
            <a:effectLst/>
          </c:spPr>
          <c:marker>
            <c:symbol val="none"/>
          </c:marker>
          <c:val>
            <c:numRef>
              <c:f>'Tendances et prévisions'!$J$10:$L$10</c:f>
              <c:numCache>
                <c:formatCode>General</c:formatCode>
                <c:ptCount val="3"/>
                <c:pt idx="0">
                  <c:v>0</c:v>
                </c:pt>
                <c:pt idx="1">
                  <c:v>0</c:v>
                </c:pt>
                <c:pt idx="2">
                  <c:v>0</c:v>
                </c:pt>
              </c:numCache>
            </c:numRef>
          </c:val>
          <c:smooth val="0"/>
        </c:ser>
        <c:ser>
          <c:idx val="2"/>
          <c:order val="2"/>
          <c:tx>
            <c:v>Marchés cycliques ou à prix volatils</c:v>
          </c:tx>
          <c:spPr>
            <a:ln w="28575" cap="rnd">
              <a:solidFill>
                <a:schemeClr val="accent3"/>
              </a:solidFill>
              <a:round/>
            </a:ln>
            <a:effectLst/>
          </c:spPr>
          <c:marker>
            <c:symbol val="none"/>
          </c:marker>
          <c:val>
            <c:numRef>
              <c:f>'Tendances et prévisions'!$J$14:$L$14</c:f>
              <c:numCache>
                <c:formatCode>General</c:formatCode>
                <c:ptCount val="3"/>
                <c:pt idx="0">
                  <c:v>0</c:v>
                </c:pt>
                <c:pt idx="1">
                  <c:v>0</c:v>
                </c:pt>
                <c:pt idx="2">
                  <c:v>0</c:v>
                </c:pt>
              </c:numCache>
            </c:numRef>
          </c:val>
          <c:smooth val="0"/>
        </c:ser>
        <c:ser>
          <c:idx val="3"/>
          <c:order val="3"/>
          <c:tx>
            <c:v>Portefeuille produit</c:v>
          </c:tx>
          <c:spPr>
            <a:ln w="28575" cap="rnd">
              <a:solidFill>
                <a:schemeClr val="accent4"/>
              </a:solidFill>
              <a:round/>
            </a:ln>
            <a:effectLst/>
          </c:spPr>
          <c:marker>
            <c:symbol val="none"/>
          </c:marker>
          <c:val>
            <c:numRef>
              <c:f>'Tendances et prévisions'!$J$17:$L$17</c:f>
              <c:numCache>
                <c:formatCode>General</c:formatCode>
                <c:ptCount val="3"/>
                <c:pt idx="0">
                  <c:v>0</c:v>
                </c:pt>
                <c:pt idx="1">
                  <c:v>0</c:v>
                </c:pt>
                <c:pt idx="2">
                  <c:v>0</c:v>
                </c:pt>
              </c:numCache>
            </c:numRef>
          </c:val>
          <c:smooth val="0"/>
        </c:ser>
        <c:ser>
          <c:idx val="4"/>
          <c:order val="4"/>
          <c:tx>
            <c:v>Pression liée à la clientèle</c:v>
          </c:tx>
          <c:spPr>
            <a:ln w="28575" cap="rnd">
              <a:solidFill>
                <a:schemeClr val="accent5"/>
              </a:solidFill>
              <a:round/>
            </a:ln>
            <a:effectLst/>
          </c:spPr>
          <c:marker>
            <c:symbol val="none"/>
          </c:marker>
          <c:val>
            <c:numRef>
              <c:f>'Tendances et prévisions'!$J$20:$L$20</c:f>
              <c:numCache>
                <c:formatCode>General</c:formatCode>
                <c:ptCount val="3"/>
                <c:pt idx="0">
                  <c:v>0</c:v>
                </c:pt>
                <c:pt idx="1">
                  <c:v>0</c:v>
                </c:pt>
                <c:pt idx="2">
                  <c:v>0</c:v>
                </c:pt>
              </c:numCache>
            </c:numRef>
          </c:val>
          <c:smooth val="0"/>
        </c:ser>
        <c:ser>
          <c:idx val="5"/>
          <c:order val="5"/>
          <c:tx>
            <c:v>Barrières à l'entrée</c:v>
          </c:tx>
          <c:spPr>
            <a:ln w="28575" cap="rnd">
              <a:solidFill>
                <a:schemeClr val="accent6"/>
              </a:solidFill>
              <a:round/>
            </a:ln>
            <a:effectLst/>
          </c:spPr>
          <c:marker>
            <c:symbol val="none"/>
          </c:marker>
          <c:val>
            <c:numRef>
              <c:f>'Tendances et prévisions'!$J$24:$L$24</c:f>
              <c:numCache>
                <c:formatCode>General</c:formatCode>
                <c:ptCount val="3"/>
                <c:pt idx="0">
                  <c:v>0</c:v>
                </c:pt>
                <c:pt idx="1">
                  <c:v>0</c:v>
                </c:pt>
                <c:pt idx="2">
                  <c:v>0</c:v>
                </c:pt>
              </c:numCache>
            </c:numRef>
          </c:val>
          <c:smooth val="0"/>
        </c:ser>
        <c:ser>
          <c:idx val="6"/>
          <c:order val="6"/>
          <c:tx>
            <c:v>Visibilité sur le secteur</c:v>
          </c:tx>
          <c:spPr>
            <a:ln w="28575" cap="rnd">
              <a:solidFill>
                <a:schemeClr val="accent1">
                  <a:lumMod val="60000"/>
                </a:schemeClr>
              </a:solidFill>
              <a:round/>
            </a:ln>
            <a:effectLst/>
          </c:spPr>
          <c:marker>
            <c:symbol val="none"/>
          </c:marker>
          <c:val>
            <c:numRef>
              <c:f>'Tendances et prévisions'!$J$26:$L$26</c:f>
              <c:numCache>
                <c:formatCode>General</c:formatCode>
                <c:ptCount val="3"/>
                <c:pt idx="0">
                  <c:v>0</c:v>
                </c:pt>
                <c:pt idx="1">
                  <c:v>0</c:v>
                </c:pt>
                <c:pt idx="2">
                  <c:v>0</c:v>
                </c:pt>
              </c:numCache>
            </c:numRef>
          </c:val>
          <c:smooth val="0"/>
        </c:ser>
        <c:dLbls>
          <c:showLegendKey val="0"/>
          <c:showVal val="0"/>
          <c:showCatName val="0"/>
          <c:showSerName val="0"/>
          <c:showPercent val="0"/>
          <c:showBubbleSize val="0"/>
        </c:dLbls>
        <c:smooth val="0"/>
        <c:axId val="1663712000"/>
        <c:axId val="1663712544"/>
      </c:lineChart>
      <c:catAx>
        <c:axId val="166371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663712544"/>
        <c:crosses val="autoZero"/>
        <c:auto val="1"/>
        <c:lblAlgn val="ctr"/>
        <c:lblOffset val="100"/>
        <c:noMultiLvlLbl val="0"/>
      </c:catAx>
      <c:valAx>
        <c:axId val="166371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66371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Tendance sectorielle - Critère Activité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lineChart>
        <c:grouping val="stacked"/>
        <c:varyColors val="0"/>
        <c:ser>
          <c:idx val="0"/>
          <c:order val="0"/>
          <c:tx>
            <c:v>Note Critère Activité - Entreprise 1</c:v>
          </c:tx>
          <c:spPr>
            <a:ln w="28575" cap="rnd">
              <a:solidFill>
                <a:schemeClr val="accent1"/>
              </a:solidFill>
              <a:round/>
            </a:ln>
            <a:effectLst/>
          </c:spPr>
          <c:marker>
            <c:symbol val="none"/>
          </c:marker>
          <c:val>
            <c:numRef>
              <c:f>'Tendances et prévisions'!$C$27:$E$27</c:f>
              <c:numCache>
                <c:formatCode>General</c:formatCode>
                <c:ptCount val="3"/>
                <c:pt idx="0">
                  <c:v>0</c:v>
                </c:pt>
                <c:pt idx="1">
                  <c:v>0</c:v>
                </c:pt>
                <c:pt idx="2">
                  <c:v>0</c:v>
                </c:pt>
              </c:numCache>
            </c:numRef>
          </c:val>
          <c:smooth val="0"/>
        </c:ser>
        <c:ser>
          <c:idx val="1"/>
          <c:order val="1"/>
          <c:tx>
            <c:v>Note Critère Activité - Entreprise 2</c:v>
          </c:tx>
          <c:spPr>
            <a:ln w="28575" cap="rnd">
              <a:solidFill>
                <a:schemeClr val="accent2"/>
              </a:solidFill>
              <a:round/>
            </a:ln>
            <a:effectLst/>
          </c:spPr>
          <c:marker>
            <c:symbol val="none"/>
          </c:marker>
          <c:val>
            <c:numRef>
              <c:f>'Tendances et prévisions'!$J$27:$L$27</c:f>
              <c:numCache>
                <c:formatCode>General</c:formatCode>
                <c:ptCount val="3"/>
                <c:pt idx="0">
                  <c:v>0</c:v>
                </c:pt>
                <c:pt idx="1">
                  <c:v>0</c:v>
                </c:pt>
                <c:pt idx="2">
                  <c:v>0</c:v>
                </c:pt>
              </c:numCache>
            </c:numRef>
          </c:val>
          <c:smooth val="0"/>
        </c:ser>
        <c:dLbls>
          <c:showLegendKey val="0"/>
          <c:showVal val="0"/>
          <c:showCatName val="0"/>
          <c:showSerName val="0"/>
          <c:showPercent val="0"/>
          <c:showBubbleSize val="0"/>
        </c:dLbls>
        <c:smooth val="0"/>
        <c:axId val="1663713088"/>
        <c:axId val="1534474608"/>
      </c:lineChart>
      <c:catAx>
        <c:axId val="16637130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534474608"/>
        <c:crosses val="autoZero"/>
        <c:auto val="1"/>
        <c:lblAlgn val="ctr"/>
        <c:lblOffset val="100"/>
        <c:noMultiLvlLbl val="0"/>
      </c:catAx>
      <c:valAx>
        <c:axId val="153447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166371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legend>
    <c:plotVisOnly val="1"/>
    <c:dispBlanksAs val="zero"/>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704850</xdr:rowOff>
    </xdr:from>
    <xdr:to>
      <xdr:col>1</xdr:col>
      <xdr:colOff>0</xdr:colOff>
      <xdr:row>2</xdr:row>
      <xdr:rowOff>0</xdr:rowOff>
    </xdr:to>
    <xdr:sp macro="" textlink="">
      <xdr:nvSpPr>
        <xdr:cNvPr id="2" name="Line 6">
          <a:extLst>
            <a:ext uri="{FF2B5EF4-FFF2-40B4-BE49-F238E27FC236}">
              <a16:creationId xmlns:a16="http://schemas.microsoft.com/office/drawing/2014/main" xmlns="" id="{00000000-0008-0000-0100-000002000000}"/>
            </a:ext>
          </a:extLst>
        </xdr:cNvPr>
        <xdr:cNvSpPr>
          <a:spLocks noChangeShapeType="1"/>
        </xdr:cNvSpPr>
      </xdr:nvSpPr>
      <xdr:spPr bwMode="auto">
        <a:xfrm flipH="1" flipV="1">
          <a:off x="0" y="609600"/>
          <a:ext cx="2381250" cy="619125"/>
        </a:xfrm>
        <a:prstGeom prst="line">
          <a:avLst/>
        </a:prstGeom>
        <a:noFill/>
        <a:ln w="222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219074</xdr:colOff>
      <xdr:row>22</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21</xdr:col>
      <xdr:colOff>219074</xdr:colOff>
      <xdr:row>22</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10</xdr:col>
      <xdr:colOff>228600</xdr:colOff>
      <xdr:row>39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ete%20loundou/Desktop/DSF%20LEON%202017/DSF%202017%20ETS%20DALY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PRINCIPAL"/>
      <sheetName val="IDENTITE"/>
      <sheetName val="CONTROLE"/>
      <sheetName val="BALANCE N"/>
      <sheetName val="PAGE 1"/>
      <sheetName val="PAGE 2"/>
      <sheetName val="T3 BILAN ACTIF"/>
      <sheetName val="T4 bilan passif"/>
      <sheetName val="compte de res charge T5"/>
      <sheetName val="T6 compte de resultat produit"/>
      <sheetName val="T7A"/>
      <sheetName val="T7B"/>
      <sheetName val="T8"/>
      <sheetName val="T9"/>
      <sheetName val="T10"/>
      <sheetName val="T11"/>
      <sheetName val="T12"/>
      <sheetName val="T13"/>
      <sheetName val="T14"/>
      <sheetName val="T15"/>
      <sheetName val="T16"/>
      <sheetName val="T17"/>
      <sheetName val="T18"/>
      <sheetName val="T19A"/>
      <sheetName val="T19B"/>
      <sheetName val="T20"/>
      <sheetName val="T21"/>
      <sheetName val="T21 (2)"/>
      <sheetName val="T22"/>
      <sheetName val="T23"/>
      <sheetName val="T24"/>
      <sheetName val="T25"/>
      <sheetName val="T26"/>
      <sheetName val="T27"/>
      <sheetName val="T28"/>
      <sheetName val="T29"/>
      <sheetName val="T30"/>
      <sheetName val="T30 (2)"/>
      <sheetName val="T31"/>
      <sheetName val="T32"/>
      <sheetName val="T33"/>
      <sheetName val="T34"/>
      <sheetName val="T35"/>
      <sheetName val="T36"/>
      <sheetName val="T37"/>
      <sheetName val="T38"/>
      <sheetName val="T39"/>
      <sheetName val="AREPORTER"/>
      <sheetName val="IRPP"/>
      <sheetName val="REPORTS"/>
      <sheetName val="ANALYSE 1"/>
      <sheetName val="Rapport sur la compatibilité"/>
      <sheetName val="Feuil1"/>
    </sheetNames>
    <sheetDataSet>
      <sheetData sheetId="0"/>
      <sheetData sheetId="1">
        <row r="12">
          <cell r="R12">
            <v>1</v>
          </cell>
        </row>
      </sheetData>
      <sheetData sheetId="2"/>
      <sheetData sheetId="3">
        <row r="2">
          <cell r="G2">
            <v>0</v>
          </cell>
          <cell r="J2" t="str">
            <v>10</v>
          </cell>
        </row>
        <row r="3">
          <cell r="G3">
            <v>0</v>
          </cell>
          <cell r="J3" t="str">
            <v>101</v>
          </cell>
        </row>
        <row r="4">
          <cell r="G4">
            <v>0</v>
          </cell>
          <cell r="J4" t="str">
            <v>102</v>
          </cell>
        </row>
        <row r="5">
          <cell r="G5">
            <v>0</v>
          </cell>
          <cell r="J5" t="str">
            <v>103</v>
          </cell>
        </row>
        <row r="6">
          <cell r="G6">
            <v>0</v>
          </cell>
          <cell r="J6" t="str">
            <v>104</v>
          </cell>
        </row>
        <row r="7">
          <cell r="G7">
            <v>0</v>
          </cell>
          <cell r="J7" t="str">
            <v>105</v>
          </cell>
        </row>
        <row r="8">
          <cell r="G8">
            <v>0</v>
          </cell>
          <cell r="J8" t="str">
            <v>106</v>
          </cell>
        </row>
        <row r="9">
          <cell r="G9">
            <v>0</v>
          </cell>
          <cell r="J9" t="str">
            <v>106</v>
          </cell>
        </row>
        <row r="10">
          <cell r="G10">
            <v>0</v>
          </cell>
          <cell r="J10" t="str">
            <v>106</v>
          </cell>
        </row>
        <row r="11">
          <cell r="G11">
            <v>0</v>
          </cell>
          <cell r="J11" t="str">
            <v>109</v>
          </cell>
        </row>
        <row r="12">
          <cell r="G12">
            <v>0</v>
          </cell>
          <cell r="J12" t="str">
            <v>11</v>
          </cell>
        </row>
        <row r="13">
          <cell r="G13">
            <v>0</v>
          </cell>
          <cell r="J13" t="str">
            <v>111</v>
          </cell>
        </row>
        <row r="14">
          <cell r="G14">
            <v>0</v>
          </cell>
          <cell r="J14" t="str">
            <v>113</v>
          </cell>
        </row>
        <row r="15">
          <cell r="G15">
            <v>0</v>
          </cell>
          <cell r="J15" t="str">
            <v>118</v>
          </cell>
        </row>
        <row r="16">
          <cell r="G16">
            <v>0</v>
          </cell>
          <cell r="J16" t="str">
            <v>12</v>
          </cell>
        </row>
        <row r="17">
          <cell r="G17">
            <v>0</v>
          </cell>
          <cell r="J17" t="str">
            <v>121</v>
          </cell>
        </row>
        <row r="18">
          <cell r="G18">
            <v>0</v>
          </cell>
          <cell r="J18" t="str">
            <v>129</v>
          </cell>
        </row>
        <row r="19">
          <cell r="G19">
            <v>0</v>
          </cell>
        </row>
        <row r="20">
          <cell r="G20">
            <v>0</v>
          </cell>
          <cell r="J20" t="str">
            <v>14</v>
          </cell>
        </row>
        <row r="21">
          <cell r="G21">
            <v>0</v>
          </cell>
          <cell r="J21" t="str">
            <v>15</v>
          </cell>
        </row>
        <row r="22">
          <cell r="G22">
            <v>0</v>
          </cell>
          <cell r="J22" t="str">
            <v>151</v>
          </cell>
        </row>
        <row r="23">
          <cell r="G23">
            <v>0</v>
          </cell>
          <cell r="J23" t="str">
            <v>152</v>
          </cell>
        </row>
        <row r="24">
          <cell r="G24">
            <v>0</v>
          </cell>
          <cell r="J24" t="str">
            <v>153</v>
          </cell>
        </row>
        <row r="25">
          <cell r="G25">
            <v>0</v>
          </cell>
          <cell r="J25" t="str">
            <v>155</v>
          </cell>
        </row>
        <row r="26">
          <cell r="G26">
            <v>0</v>
          </cell>
          <cell r="J26" t="str">
            <v>156</v>
          </cell>
        </row>
        <row r="27">
          <cell r="G27">
            <v>0</v>
          </cell>
          <cell r="J27" t="str">
            <v>16</v>
          </cell>
        </row>
        <row r="28">
          <cell r="G28">
            <v>0</v>
          </cell>
          <cell r="J28" t="str">
            <v>161</v>
          </cell>
        </row>
        <row r="29">
          <cell r="G29">
            <v>0</v>
          </cell>
          <cell r="J29" t="str">
            <v>161</v>
          </cell>
        </row>
        <row r="30">
          <cell r="G30">
            <v>0</v>
          </cell>
          <cell r="J30" t="str">
            <v>161</v>
          </cell>
        </row>
        <row r="31">
          <cell r="G31">
            <v>0</v>
          </cell>
          <cell r="J31" t="str">
            <v>161</v>
          </cell>
        </row>
        <row r="32">
          <cell r="G32">
            <v>0</v>
          </cell>
        </row>
        <row r="33">
          <cell r="G33">
            <v>0</v>
          </cell>
          <cell r="J33" t="str">
            <v>163</v>
          </cell>
        </row>
        <row r="34">
          <cell r="G34">
            <v>0</v>
          </cell>
          <cell r="J34" t="str">
            <v>164</v>
          </cell>
        </row>
        <row r="35">
          <cell r="G35">
            <v>0</v>
          </cell>
        </row>
        <row r="36">
          <cell r="G36">
            <v>0</v>
          </cell>
          <cell r="J36" t="str">
            <v>167</v>
          </cell>
        </row>
        <row r="37">
          <cell r="G37">
            <v>0</v>
          </cell>
          <cell r="J37" t="str">
            <v>168</v>
          </cell>
        </row>
        <row r="38">
          <cell r="G38">
            <v>0</v>
          </cell>
          <cell r="J38" t="str">
            <v>166</v>
          </cell>
        </row>
        <row r="39">
          <cell r="G39">
            <v>0</v>
          </cell>
          <cell r="J39" t="str">
            <v>166</v>
          </cell>
        </row>
        <row r="40">
          <cell r="G40">
            <v>0</v>
          </cell>
          <cell r="J40" t="str">
            <v>166</v>
          </cell>
        </row>
        <row r="41">
          <cell r="G41">
            <v>0</v>
          </cell>
          <cell r="J41" t="str">
            <v>166</v>
          </cell>
        </row>
        <row r="42">
          <cell r="G42">
            <v>0</v>
          </cell>
          <cell r="J42" t="str">
            <v>166</v>
          </cell>
        </row>
        <row r="43">
          <cell r="G43">
            <v>0</v>
          </cell>
          <cell r="J43" t="str">
            <v>166</v>
          </cell>
        </row>
        <row r="44">
          <cell r="G44">
            <v>0</v>
          </cell>
          <cell r="J44" t="str">
            <v>166</v>
          </cell>
        </row>
        <row r="45">
          <cell r="G45">
            <v>0</v>
          </cell>
          <cell r="J45" t="str">
            <v>166</v>
          </cell>
        </row>
        <row r="46">
          <cell r="G46">
            <v>0</v>
          </cell>
          <cell r="J46" t="str">
            <v>17</v>
          </cell>
        </row>
        <row r="47">
          <cell r="G47">
            <v>0</v>
          </cell>
          <cell r="J47" t="str">
            <v>172</v>
          </cell>
        </row>
        <row r="48">
          <cell r="G48">
            <v>0</v>
          </cell>
          <cell r="J48" t="str">
            <v>173</v>
          </cell>
        </row>
        <row r="49">
          <cell r="G49">
            <v>0</v>
          </cell>
          <cell r="J49" t="str">
            <v>176</v>
          </cell>
        </row>
        <row r="50">
          <cell r="G50">
            <v>0</v>
          </cell>
          <cell r="J50" t="str">
            <v>176</v>
          </cell>
        </row>
        <row r="51">
          <cell r="G51">
            <v>0</v>
          </cell>
          <cell r="J51" t="str">
            <v>176</v>
          </cell>
        </row>
        <row r="52">
          <cell r="G52">
            <v>0</v>
          </cell>
          <cell r="J52" t="str">
            <v>176</v>
          </cell>
        </row>
        <row r="53">
          <cell r="G53">
            <v>0</v>
          </cell>
          <cell r="J53" t="str">
            <v>178</v>
          </cell>
        </row>
        <row r="54">
          <cell r="G54">
            <v>0</v>
          </cell>
          <cell r="J54" t="str">
            <v>18</v>
          </cell>
        </row>
        <row r="55">
          <cell r="G55">
            <v>0</v>
          </cell>
          <cell r="J55" t="str">
            <v>181</v>
          </cell>
        </row>
        <row r="56">
          <cell r="G56">
            <v>0</v>
          </cell>
          <cell r="J56" t="str">
            <v>182</v>
          </cell>
        </row>
        <row r="57">
          <cell r="G57">
            <v>0</v>
          </cell>
          <cell r="J57" t="str">
            <v>183</v>
          </cell>
        </row>
        <row r="58">
          <cell r="G58">
            <v>0</v>
          </cell>
        </row>
        <row r="59">
          <cell r="G59">
            <v>0</v>
          </cell>
        </row>
        <row r="60">
          <cell r="G60">
            <v>0</v>
          </cell>
          <cell r="J60" t="str">
            <v>186</v>
          </cell>
        </row>
        <row r="61">
          <cell r="G61">
            <v>0</v>
          </cell>
          <cell r="J61" t="str">
            <v>187</v>
          </cell>
        </row>
        <row r="62">
          <cell r="G62">
            <v>0</v>
          </cell>
          <cell r="J62" t="str">
            <v>188</v>
          </cell>
        </row>
        <row r="63">
          <cell r="G63">
            <v>0</v>
          </cell>
          <cell r="J63" t="str">
            <v>19</v>
          </cell>
        </row>
        <row r="64">
          <cell r="G64">
            <v>0</v>
          </cell>
          <cell r="J64" t="str">
            <v>20</v>
          </cell>
        </row>
        <row r="65">
          <cell r="G65">
            <v>0</v>
          </cell>
          <cell r="J65" t="str">
            <v>201</v>
          </cell>
        </row>
        <row r="66">
          <cell r="G66">
            <v>0</v>
          </cell>
          <cell r="J66" t="str">
            <v>202</v>
          </cell>
        </row>
        <row r="67">
          <cell r="G67">
            <v>0</v>
          </cell>
          <cell r="J67" t="str">
            <v>206</v>
          </cell>
        </row>
        <row r="68">
          <cell r="G68">
            <v>0</v>
          </cell>
          <cell r="J68" t="str">
            <v>21</v>
          </cell>
        </row>
        <row r="69">
          <cell r="G69">
            <v>0</v>
          </cell>
          <cell r="J69" t="str">
            <v>211</v>
          </cell>
        </row>
        <row r="70">
          <cell r="G70">
            <v>0</v>
          </cell>
          <cell r="J70" t="str">
            <v>212</v>
          </cell>
        </row>
        <row r="71">
          <cell r="G71">
            <v>0</v>
          </cell>
          <cell r="J71" t="str">
            <v>213</v>
          </cell>
        </row>
        <row r="72">
          <cell r="G72">
            <v>0</v>
          </cell>
          <cell r="J72" t="str">
            <v>214</v>
          </cell>
        </row>
        <row r="73">
          <cell r="G73">
            <v>0</v>
          </cell>
          <cell r="J73" t="str">
            <v>215</v>
          </cell>
        </row>
        <row r="74">
          <cell r="G74">
            <v>0</v>
          </cell>
          <cell r="J74" t="str">
            <v>216</v>
          </cell>
        </row>
        <row r="75">
          <cell r="G75">
            <v>0</v>
          </cell>
          <cell r="J75" t="str">
            <v>217</v>
          </cell>
        </row>
        <row r="76">
          <cell r="G76">
            <v>0</v>
          </cell>
          <cell r="J76" t="str">
            <v>218</v>
          </cell>
        </row>
        <row r="77">
          <cell r="G77">
            <v>0</v>
          </cell>
          <cell r="J77" t="str">
            <v>219</v>
          </cell>
        </row>
        <row r="78">
          <cell r="G78">
            <v>0</v>
          </cell>
          <cell r="J78" t="str">
            <v>219</v>
          </cell>
        </row>
        <row r="79">
          <cell r="G79">
            <v>0</v>
          </cell>
          <cell r="J79" t="str">
            <v>219</v>
          </cell>
        </row>
        <row r="80">
          <cell r="G80">
            <v>0</v>
          </cell>
          <cell r="J80" t="str">
            <v>219</v>
          </cell>
        </row>
        <row r="81">
          <cell r="G81">
            <v>0</v>
          </cell>
          <cell r="J81" t="str">
            <v>22</v>
          </cell>
        </row>
        <row r="82">
          <cell r="G82">
            <v>0</v>
          </cell>
          <cell r="J82" t="str">
            <v>221</v>
          </cell>
        </row>
        <row r="83">
          <cell r="G83">
            <v>0</v>
          </cell>
          <cell r="J83" t="str">
            <v>222</v>
          </cell>
        </row>
        <row r="84">
          <cell r="G84">
            <v>0</v>
          </cell>
          <cell r="J84" t="str">
            <v>223</v>
          </cell>
        </row>
        <row r="85">
          <cell r="G85">
            <v>0</v>
          </cell>
          <cell r="J85" t="str">
            <v>224</v>
          </cell>
        </row>
        <row r="86">
          <cell r="G86">
            <v>0</v>
          </cell>
          <cell r="J86" t="str">
            <v>225</v>
          </cell>
        </row>
        <row r="87">
          <cell r="G87">
            <v>0</v>
          </cell>
          <cell r="J87" t="str">
            <v>226</v>
          </cell>
        </row>
        <row r="88">
          <cell r="G88">
            <v>0</v>
          </cell>
          <cell r="J88" t="str">
            <v>228</v>
          </cell>
        </row>
        <row r="89">
          <cell r="G89">
            <v>0</v>
          </cell>
          <cell r="J89" t="str">
            <v>229</v>
          </cell>
        </row>
        <row r="90">
          <cell r="G90">
            <v>0</v>
          </cell>
          <cell r="J90" t="str">
            <v>23</v>
          </cell>
        </row>
        <row r="91">
          <cell r="G91">
            <v>0</v>
          </cell>
          <cell r="J91" t="str">
            <v>231</v>
          </cell>
        </row>
        <row r="92">
          <cell r="G92">
            <v>0</v>
          </cell>
          <cell r="J92" t="str">
            <v>232</v>
          </cell>
        </row>
        <row r="93">
          <cell r="G93">
            <v>0</v>
          </cell>
          <cell r="J93" t="str">
            <v>233</v>
          </cell>
        </row>
        <row r="94">
          <cell r="G94">
            <v>0</v>
          </cell>
          <cell r="J94" t="str">
            <v>234</v>
          </cell>
        </row>
        <row r="95">
          <cell r="G95">
            <v>0</v>
          </cell>
          <cell r="J95" t="str">
            <v>235</v>
          </cell>
        </row>
        <row r="96">
          <cell r="G96">
            <v>0</v>
          </cell>
          <cell r="J96" t="str">
            <v>237</v>
          </cell>
        </row>
        <row r="97">
          <cell r="G97">
            <v>0</v>
          </cell>
          <cell r="J97" t="str">
            <v>238</v>
          </cell>
        </row>
        <row r="98">
          <cell r="G98">
            <v>0</v>
          </cell>
          <cell r="J98" t="str">
            <v>239</v>
          </cell>
        </row>
        <row r="99">
          <cell r="G99">
            <v>0</v>
          </cell>
          <cell r="J99" t="str">
            <v>239</v>
          </cell>
        </row>
        <row r="100">
          <cell r="G100">
            <v>0</v>
          </cell>
          <cell r="J100" t="str">
            <v>239</v>
          </cell>
        </row>
        <row r="101">
          <cell r="G101">
            <v>0</v>
          </cell>
          <cell r="J101" t="str">
            <v>239</v>
          </cell>
        </row>
        <row r="102">
          <cell r="G102">
            <v>0</v>
          </cell>
          <cell r="J102" t="str">
            <v>239</v>
          </cell>
        </row>
        <row r="103">
          <cell r="G103">
            <v>0</v>
          </cell>
          <cell r="J103" t="str">
            <v>239</v>
          </cell>
        </row>
        <row r="104">
          <cell r="G104">
            <v>0</v>
          </cell>
          <cell r="J104" t="str">
            <v>239</v>
          </cell>
        </row>
        <row r="105">
          <cell r="G105">
            <v>0</v>
          </cell>
          <cell r="J105" t="str">
            <v>239</v>
          </cell>
        </row>
        <row r="106">
          <cell r="G106">
            <v>0</v>
          </cell>
          <cell r="J106" t="str">
            <v>24</v>
          </cell>
        </row>
        <row r="107">
          <cell r="G107">
            <v>0</v>
          </cell>
          <cell r="J107" t="str">
            <v>241</v>
          </cell>
        </row>
        <row r="108">
          <cell r="G108">
            <v>0</v>
          </cell>
          <cell r="J108" t="str">
            <v>242</v>
          </cell>
        </row>
        <row r="109">
          <cell r="G109">
            <v>0</v>
          </cell>
          <cell r="J109" t="str">
            <v>243</v>
          </cell>
        </row>
        <row r="110">
          <cell r="G110">
            <v>0</v>
          </cell>
          <cell r="J110" t="str">
            <v>244</v>
          </cell>
        </row>
        <row r="111">
          <cell r="G111">
            <v>0</v>
          </cell>
          <cell r="J111" t="str">
            <v>245</v>
          </cell>
        </row>
        <row r="112">
          <cell r="G112">
            <v>0</v>
          </cell>
          <cell r="J112" t="str">
            <v>246</v>
          </cell>
        </row>
        <row r="113">
          <cell r="G113">
            <v>0</v>
          </cell>
          <cell r="J113" t="str">
            <v>248</v>
          </cell>
        </row>
        <row r="114">
          <cell r="G114">
            <v>0</v>
          </cell>
          <cell r="J114" t="str">
            <v>249</v>
          </cell>
        </row>
        <row r="115">
          <cell r="G115">
            <v>0</v>
          </cell>
          <cell r="J115" t="str">
            <v>249</v>
          </cell>
        </row>
        <row r="116">
          <cell r="G116">
            <v>0</v>
          </cell>
          <cell r="J116" t="str">
            <v>249</v>
          </cell>
        </row>
        <row r="117">
          <cell r="G117">
            <v>0</v>
          </cell>
          <cell r="J117" t="str">
            <v>249</v>
          </cell>
        </row>
        <row r="118">
          <cell r="G118">
            <v>0</v>
          </cell>
          <cell r="J118" t="str">
            <v>249</v>
          </cell>
        </row>
        <row r="119">
          <cell r="G119">
            <v>0</v>
          </cell>
          <cell r="J119" t="str">
            <v>249</v>
          </cell>
        </row>
        <row r="120">
          <cell r="G120">
            <v>0</v>
          </cell>
          <cell r="J120" t="str">
            <v>249</v>
          </cell>
        </row>
        <row r="121">
          <cell r="G121">
            <v>0</v>
          </cell>
          <cell r="J121" t="str">
            <v>249</v>
          </cell>
        </row>
        <row r="122">
          <cell r="G122">
            <v>0</v>
          </cell>
          <cell r="J122" t="str">
            <v>249</v>
          </cell>
        </row>
        <row r="123">
          <cell r="G123">
            <v>0</v>
          </cell>
          <cell r="J123" t="str">
            <v>25</v>
          </cell>
        </row>
        <row r="124">
          <cell r="G124">
            <v>0</v>
          </cell>
          <cell r="J124" t="str">
            <v>26</v>
          </cell>
        </row>
        <row r="125">
          <cell r="G125">
            <v>0</v>
          </cell>
          <cell r="J125" t="str">
            <v>27</v>
          </cell>
        </row>
        <row r="126">
          <cell r="G126">
            <v>0</v>
          </cell>
          <cell r="J126" t="str">
            <v>271</v>
          </cell>
        </row>
        <row r="127">
          <cell r="G127">
            <v>0</v>
          </cell>
          <cell r="J127" t="str">
            <v>272</v>
          </cell>
        </row>
        <row r="128">
          <cell r="G128">
            <v>0</v>
          </cell>
          <cell r="J128" t="str">
            <v>273</v>
          </cell>
        </row>
        <row r="129">
          <cell r="G129">
            <v>0</v>
          </cell>
          <cell r="J129" t="str">
            <v>274</v>
          </cell>
        </row>
        <row r="130">
          <cell r="G130">
            <v>0</v>
          </cell>
          <cell r="J130" t="str">
            <v>275</v>
          </cell>
        </row>
        <row r="131">
          <cell r="G131">
            <v>0</v>
          </cell>
          <cell r="J131" t="str">
            <v>276</v>
          </cell>
        </row>
        <row r="132">
          <cell r="G132">
            <v>0</v>
          </cell>
          <cell r="J132" t="str">
            <v>276</v>
          </cell>
        </row>
        <row r="133">
          <cell r="G133">
            <v>0</v>
          </cell>
          <cell r="J133" t="str">
            <v>276</v>
          </cell>
        </row>
        <row r="134">
          <cell r="G134">
            <v>0</v>
          </cell>
          <cell r="J134" t="str">
            <v>276</v>
          </cell>
        </row>
        <row r="135">
          <cell r="G135">
            <v>0</v>
          </cell>
          <cell r="J135" t="str">
            <v>276</v>
          </cell>
        </row>
        <row r="136">
          <cell r="G136">
            <v>0</v>
          </cell>
          <cell r="J136" t="str">
            <v>276</v>
          </cell>
        </row>
        <row r="137">
          <cell r="G137">
            <v>0</v>
          </cell>
          <cell r="J137" t="str">
            <v>276</v>
          </cell>
        </row>
        <row r="138">
          <cell r="G138">
            <v>0</v>
          </cell>
          <cell r="J138" t="str">
            <v>276</v>
          </cell>
        </row>
        <row r="139">
          <cell r="G139">
            <v>0</v>
          </cell>
          <cell r="J139" t="str">
            <v>277</v>
          </cell>
        </row>
        <row r="140">
          <cell r="G140">
            <v>0</v>
          </cell>
          <cell r="J140" t="str">
            <v>278</v>
          </cell>
        </row>
        <row r="141">
          <cell r="G141">
            <v>0</v>
          </cell>
          <cell r="J141" t="str">
            <v>28</v>
          </cell>
        </row>
        <row r="142">
          <cell r="G142">
            <v>0</v>
          </cell>
          <cell r="J142" t="str">
            <v>281</v>
          </cell>
        </row>
        <row r="143">
          <cell r="G143">
            <v>0</v>
          </cell>
          <cell r="J143" t="str">
            <v>281</v>
          </cell>
        </row>
        <row r="144">
          <cell r="G144">
            <v>0</v>
          </cell>
          <cell r="J144" t="str">
            <v>281</v>
          </cell>
        </row>
        <row r="145">
          <cell r="G145">
            <v>0</v>
          </cell>
          <cell r="J145" t="str">
            <v>281</v>
          </cell>
        </row>
        <row r="146">
          <cell r="G146">
            <v>0</v>
          </cell>
          <cell r="J146" t="str">
            <v>281</v>
          </cell>
        </row>
        <row r="147">
          <cell r="G147">
            <v>0</v>
          </cell>
          <cell r="J147" t="str">
            <v>281</v>
          </cell>
        </row>
        <row r="148">
          <cell r="G148">
            <v>0</v>
          </cell>
          <cell r="J148" t="str">
            <v>281</v>
          </cell>
        </row>
        <row r="149">
          <cell r="G149">
            <v>0</v>
          </cell>
          <cell r="J149" t="str">
            <v>281</v>
          </cell>
        </row>
        <row r="150">
          <cell r="G150">
            <v>0</v>
          </cell>
          <cell r="J150" t="str">
            <v>281</v>
          </cell>
        </row>
        <row r="151">
          <cell r="G151">
            <v>0</v>
          </cell>
          <cell r="J151" t="str">
            <v>282</v>
          </cell>
        </row>
        <row r="152">
          <cell r="G152">
            <v>0</v>
          </cell>
          <cell r="J152" t="str">
            <v>283</v>
          </cell>
        </row>
        <row r="153">
          <cell r="G153">
            <v>0</v>
          </cell>
          <cell r="J153" t="str">
            <v>283</v>
          </cell>
        </row>
        <row r="154">
          <cell r="G154">
            <v>0</v>
          </cell>
          <cell r="J154" t="str">
            <v>283</v>
          </cell>
        </row>
        <row r="155">
          <cell r="G155">
            <v>0</v>
          </cell>
          <cell r="J155" t="str">
            <v>283</v>
          </cell>
        </row>
        <row r="156">
          <cell r="G156">
            <v>0</v>
          </cell>
          <cell r="J156" t="str">
            <v>283</v>
          </cell>
        </row>
        <row r="157">
          <cell r="G157">
            <v>0</v>
          </cell>
          <cell r="J157" t="str">
            <v>283</v>
          </cell>
        </row>
        <row r="158">
          <cell r="G158">
            <v>0</v>
          </cell>
          <cell r="J158" t="str">
            <v>283</v>
          </cell>
        </row>
        <row r="159">
          <cell r="G159">
            <v>0</v>
          </cell>
          <cell r="J159" t="str">
            <v>283</v>
          </cell>
        </row>
        <row r="160">
          <cell r="G160">
            <v>0</v>
          </cell>
          <cell r="J160" t="str">
            <v>284</v>
          </cell>
        </row>
        <row r="161">
          <cell r="G161">
            <v>0</v>
          </cell>
          <cell r="J161" t="str">
            <v>284</v>
          </cell>
        </row>
        <row r="162">
          <cell r="G162">
            <v>0</v>
          </cell>
          <cell r="J162" t="str">
            <v>284</v>
          </cell>
        </row>
        <row r="163">
          <cell r="G163">
            <v>0</v>
          </cell>
          <cell r="J163" t="str">
            <v>284</v>
          </cell>
        </row>
        <row r="164">
          <cell r="G164">
            <v>0</v>
          </cell>
          <cell r="J164" t="str">
            <v>284</v>
          </cell>
        </row>
        <row r="165">
          <cell r="G165">
            <v>0</v>
          </cell>
          <cell r="J165" t="str">
            <v>284</v>
          </cell>
        </row>
        <row r="166">
          <cell r="G166">
            <v>0</v>
          </cell>
          <cell r="J166" t="str">
            <v>284</v>
          </cell>
        </row>
        <row r="167">
          <cell r="G167">
            <v>0</v>
          </cell>
          <cell r="J167" t="str">
            <v>284</v>
          </cell>
        </row>
        <row r="168">
          <cell r="G168">
            <v>0</v>
          </cell>
          <cell r="J168" t="str">
            <v>284</v>
          </cell>
        </row>
        <row r="169">
          <cell r="G169">
            <v>0</v>
          </cell>
          <cell r="J169" t="str">
            <v>29</v>
          </cell>
        </row>
        <row r="170">
          <cell r="G170">
            <v>0</v>
          </cell>
          <cell r="J170" t="str">
            <v>291</v>
          </cell>
        </row>
        <row r="171">
          <cell r="G171">
            <v>0</v>
          </cell>
          <cell r="J171" t="str">
            <v>291</v>
          </cell>
        </row>
        <row r="172">
          <cell r="G172">
            <v>0</v>
          </cell>
          <cell r="J172" t="str">
            <v>291</v>
          </cell>
        </row>
        <row r="173">
          <cell r="G173">
            <v>0</v>
          </cell>
          <cell r="J173" t="str">
            <v>291</v>
          </cell>
        </row>
        <row r="174">
          <cell r="G174">
            <v>0</v>
          </cell>
          <cell r="J174" t="str">
            <v>291</v>
          </cell>
        </row>
        <row r="175">
          <cell r="G175">
            <v>0</v>
          </cell>
          <cell r="J175" t="str">
            <v>291</v>
          </cell>
        </row>
        <row r="176">
          <cell r="G176">
            <v>0</v>
          </cell>
          <cell r="J176" t="str">
            <v>291</v>
          </cell>
        </row>
        <row r="177">
          <cell r="G177">
            <v>0</v>
          </cell>
          <cell r="J177" t="str">
            <v>291</v>
          </cell>
        </row>
        <row r="178">
          <cell r="G178">
            <v>0</v>
          </cell>
          <cell r="J178" t="str">
            <v>291</v>
          </cell>
        </row>
        <row r="179">
          <cell r="G179">
            <v>0</v>
          </cell>
          <cell r="J179" t="str">
            <v>292</v>
          </cell>
        </row>
        <row r="180">
          <cell r="G180">
            <v>0</v>
          </cell>
          <cell r="J180" t="str">
            <v>293</v>
          </cell>
        </row>
        <row r="181">
          <cell r="G181">
            <v>0</v>
          </cell>
          <cell r="J181" t="str">
            <v>293</v>
          </cell>
        </row>
        <row r="182">
          <cell r="G182">
            <v>0</v>
          </cell>
          <cell r="J182" t="str">
            <v>293</v>
          </cell>
        </row>
        <row r="183">
          <cell r="G183">
            <v>0</v>
          </cell>
          <cell r="J183" t="str">
            <v>293</v>
          </cell>
        </row>
        <row r="184">
          <cell r="G184">
            <v>0</v>
          </cell>
          <cell r="J184" t="str">
            <v>293</v>
          </cell>
        </row>
        <row r="185">
          <cell r="G185">
            <v>0</v>
          </cell>
          <cell r="J185" t="str">
            <v>293</v>
          </cell>
        </row>
        <row r="186">
          <cell r="G186">
            <v>0</v>
          </cell>
          <cell r="J186" t="str">
            <v>293</v>
          </cell>
        </row>
        <row r="187">
          <cell r="G187">
            <v>0</v>
          </cell>
          <cell r="J187" t="str">
            <v>293</v>
          </cell>
        </row>
        <row r="188">
          <cell r="G188">
            <v>0</v>
          </cell>
          <cell r="J188" t="str">
            <v>293</v>
          </cell>
        </row>
        <row r="189">
          <cell r="G189">
            <v>0</v>
          </cell>
          <cell r="J189" t="str">
            <v>294</v>
          </cell>
        </row>
        <row r="190">
          <cell r="G190">
            <v>0</v>
          </cell>
          <cell r="J190" t="str">
            <v>294</v>
          </cell>
        </row>
        <row r="191">
          <cell r="G191">
            <v>0</v>
          </cell>
          <cell r="J191" t="str">
            <v>294</v>
          </cell>
        </row>
        <row r="192">
          <cell r="G192">
            <v>0</v>
          </cell>
          <cell r="J192" t="str">
            <v>294</v>
          </cell>
        </row>
        <row r="193">
          <cell r="G193">
            <v>0</v>
          </cell>
          <cell r="J193" t="str">
            <v>294</v>
          </cell>
        </row>
        <row r="194">
          <cell r="G194">
            <v>0</v>
          </cell>
          <cell r="J194" t="str">
            <v>294</v>
          </cell>
        </row>
        <row r="195">
          <cell r="G195">
            <v>0</v>
          </cell>
          <cell r="J195" t="str">
            <v>294</v>
          </cell>
        </row>
        <row r="196">
          <cell r="G196">
            <v>0</v>
          </cell>
          <cell r="J196" t="str">
            <v>294</v>
          </cell>
        </row>
        <row r="197">
          <cell r="G197">
            <v>0</v>
          </cell>
          <cell r="J197" t="str">
            <v>294</v>
          </cell>
        </row>
        <row r="198">
          <cell r="G198">
            <v>0</v>
          </cell>
          <cell r="J198" t="str">
            <v>294</v>
          </cell>
        </row>
        <row r="199">
          <cell r="G199">
            <v>0</v>
          </cell>
          <cell r="J199" t="str">
            <v>295</v>
          </cell>
        </row>
        <row r="200">
          <cell r="G200">
            <v>0</v>
          </cell>
          <cell r="J200" t="str">
            <v>296</v>
          </cell>
        </row>
        <row r="201">
          <cell r="G201">
            <v>0</v>
          </cell>
          <cell r="J201" t="str">
            <v>297</v>
          </cell>
        </row>
        <row r="202">
          <cell r="G202">
            <v>0</v>
          </cell>
          <cell r="J202" t="str">
            <v>300</v>
          </cell>
        </row>
        <row r="203">
          <cell r="G203">
            <v>0</v>
          </cell>
          <cell r="J203" t="str">
            <v>31</v>
          </cell>
        </row>
        <row r="204">
          <cell r="G204">
            <v>0</v>
          </cell>
          <cell r="J204" t="str">
            <v>32</v>
          </cell>
        </row>
        <row r="205">
          <cell r="G205">
            <v>0</v>
          </cell>
          <cell r="J205" t="str">
            <v>33</v>
          </cell>
        </row>
        <row r="206">
          <cell r="G206">
            <v>0</v>
          </cell>
          <cell r="J206" t="str">
            <v>34</v>
          </cell>
        </row>
        <row r="207">
          <cell r="G207">
            <v>0</v>
          </cell>
          <cell r="J207" t="str">
            <v>35</v>
          </cell>
        </row>
        <row r="208">
          <cell r="G208">
            <v>0</v>
          </cell>
          <cell r="J208" t="str">
            <v>36</v>
          </cell>
        </row>
        <row r="209">
          <cell r="G209">
            <v>0</v>
          </cell>
          <cell r="J209" t="str">
            <v>37</v>
          </cell>
        </row>
        <row r="210">
          <cell r="G210">
            <v>0</v>
          </cell>
          <cell r="J210" t="str">
            <v>38</v>
          </cell>
        </row>
        <row r="211">
          <cell r="G211">
            <v>0</v>
          </cell>
          <cell r="J211" t="str">
            <v>381</v>
          </cell>
        </row>
        <row r="212">
          <cell r="G212">
            <v>0</v>
          </cell>
          <cell r="J212" t="str">
            <v>382</v>
          </cell>
        </row>
        <row r="213">
          <cell r="G213">
            <v>0</v>
          </cell>
          <cell r="J213" t="str">
            <v>383</v>
          </cell>
        </row>
        <row r="214">
          <cell r="G214">
            <v>0</v>
          </cell>
          <cell r="J214" t="str">
            <v>386</v>
          </cell>
        </row>
        <row r="215">
          <cell r="G215">
            <v>0</v>
          </cell>
          <cell r="J215" t="str">
            <v>387</v>
          </cell>
        </row>
        <row r="216">
          <cell r="G216">
            <v>0</v>
          </cell>
          <cell r="J216" t="str">
            <v>39</v>
          </cell>
        </row>
        <row r="217">
          <cell r="G217">
            <v>0</v>
          </cell>
          <cell r="J217" t="str">
            <v>391</v>
          </cell>
        </row>
        <row r="218">
          <cell r="G218">
            <v>0</v>
          </cell>
          <cell r="J218" t="str">
            <v>392</v>
          </cell>
        </row>
        <row r="219">
          <cell r="G219">
            <v>0</v>
          </cell>
          <cell r="J219" t="str">
            <v>393</v>
          </cell>
        </row>
        <row r="220">
          <cell r="G220">
            <v>0</v>
          </cell>
          <cell r="J220" t="str">
            <v>394</v>
          </cell>
        </row>
        <row r="221">
          <cell r="G221">
            <v>0</v>
          </cell>
          <cell r="J221" t="str">
            <v>395</v>
          </cell>
        </row>
        <row r="222">
          <cell r="G222">
            <v>0</v>
          </cell>
          <cell r="J222" t="str">
            <v>396</v>
          </cell>
        </row>
        <row r="223">
          <cell r="G223">
            <v>0</v>
          </cell>
          <cell r="J223" t="str">
            <v>397</v>
          </cell>
        </row>
        <row r="224">
          <cell r="G224">
            <v>0</v>
          </cell>
          <cell r="J224" t="str">
            <v>398</v>
          </cell>
        </row>
        <row r="225">
          <cell r="G225">
            <v>0</v>
          </cell>
          <cell r="J225" t="str">
            <v>40</v>
          </cell>
        </row>
        <row r="226">
          <cell r="G226">
            <v>0</v>
          </cell>
          <cell r="J226" t="str">
            <v>400</v>
          </cell>
        </row>
        <row r="227">
          <cell r="G227">
            <v>0</v>
          </cell>
          <cell r="J227" t="str">
            <v>401</v>
          </cell>
        </row>
        <row r="228">
          <cell r="G228">
            <v>0</v>
          </cell>
          <cell r="J228" t="str">
            <v>402</v>
          </cell>
        </row>
        <row r="229">
          <cell r="G229">
            <v>0</v>
          </cell>
          <cell r="J229" t="str">
            <v>408</v>
          </cell>
        </row>
        <row r="230">
          <cell r="G230">
            <v>0</v>
          </cell>
          <cell r="J230" t="str">
            <v>409</v>
          </cell>
        </row>
        <row r="231">
          <cell r="G231">
            <v>0</v>
          </cell>
          <cell r="J231" t="str">
            <v>41</v>
          </cell>
        </row>
        <row r="232">
          <cell r="G232">
            <v>0</v>
          </cell>
          <cell r="J232" t="str">
            <v>411</v>
          </cell>
        </row>
        <row r="233">
          <cell r="G233">
            <v>0</v>
          </cell>
          <cell r="J233" t="str">
            <v>412</v>
          </cell>
        </row>
        <row r="234">
          <cell r="G234">
            <v>0</v>
          </cell>
          <cell r="J234" t="str">
            <v>414</v>
          </cell>
        </row>
        <row r="235">
          <cell r="G235">
            <v>0</v>
          </cell>
          <cell r="J235" t="str">
            <v>415</v>
          </cell>
        </row>
        <row r="236">
          <cell r="G236">
            <v>0</v>
          </cell>
          <cell r="J236" t="str">
            <v>416</v>
          </cell>
        </row>
        <row r="237">
          <cell r="G237">
            <v>0</v>
          </cell>
          <cell r="J237" t="str">
            <v>418</v>
          </cell>
        </row>
        <row r="238">
          <cell r="G238">
            <v>0</v>
          </cell>
          <cell r="J238" t="str">
            <v>419</v>
          </cell>
        </row>
        <row r="239">
          <cell r="G239">
            <v>0</v>
          </cell>
          <cell r="J239" t="str">
            <v>42</v>
          </cell>
        </row>
        <row r="240">
          <cell r="G240">
            <v>0</v>
          </cell>
          <cell r="J240" t="str">
            <v>421</v>
          </cell>
        </row>
        <row r="241">
          <cell r="G241">
            <v>0</v>
          </cell>
          <cell r="J241" t="str">
            <v>422</v>
          </cell>
        </row>
        <row r="242">
          <cell r="G242">
            <v>0</v>
          </cell>
          <cell r="J242" t="str">
            <v>423</v>
          </cell>
        </row>
        <row r="243">
          <cell r="G243">
            <v>0</v>
          </cell>
          <cell r="J243" t="str">
            <v>424</v>
          </cell>
        </row>
        <row r="244">
          <cell r="G244">
            <v>0</v>
          </cell>
          <cell r="J244" t="str">
            <v>425</v>
          </cell>
        </row>
        <row r="245">
          <cell r="G245">
            <v>0</v>
          </cell>
          <cell r="J245" t="str">
            <v>428</v>
          </cell>
        </row>
        <row r="246">
          <cell r="G246">
            <v>0</v>
          </cell>
          <cell r="J246" t="str">
            <v>428</v>
          </cell>
        </row>
        <row r="247">
          <cell r="G247">
            <v>0</v>
          </cell>
          <cell r="J247" t="str">
            <v>428</v>
          </cell>
        </row>
        <row r="248">
          <cell r="G248">
            <v>0</v>
          </cell>
          <cell r="J248" t="str">
            <v>43</v>
          </cell>
        </row>
        <row r="249">
          <cell r="G249">
            <v>0</v>
          </cell>
          <cell r="J249" t="str">
            <v>431</v>
          </cell>
        </row>
        <row r="250">
          <cell r="G250">
            <v>0</v>
          </cell>
          <cell r="J250" t="str">
            <v>433</v>
          </cell>
        </row>
        <row r="251">
          <cell r="G251">
            <v>0</v>
          </cell>
          <cell r="J251" t="str">
            <v>438</v>
          </cell>
        </row>
        <row r="252">
          <cell r="G252">
            <v>0</v>
          </cell>
          <cell r="J252" t="str">
            <v>438</v>
          </cell>
        </row>
        <row r="253">
          <cell r="G253">
            <v>0</v>
          </cell>
          <cell r="J253" t="str">
            <v>44</v>
          </cell>
        </row>
        <row r="254">
          <cell r="G254">
            <v>0</v>
          </cell>
          <cell r="J254" t="str">
            <v>441</v>
          </cell>
        </row>
        <row r="255">
          <cell r="G255">
            <v>0</v>
          </cell>
          <cell r="J255" t="str">
            <v>442</v>
          </cell>
        </row>
        <row r="256">
          <cell r="G256">
            <v>0</v>
          </cell>
          <cell r="J256" t="str">
            <v>443</v>
          </cell>
        </row>
        <row r="257">
          <cell r="G257">
            <v>0</v>
          </cell>
          <cell r="J257" t="str">
            <v>444</v>
          </cell>
        </row>
        <row r="258">
          <cell r="G258">
            <v>0</v>
          </cell>
          <cell r="J258" t="str">
            <v>445</v>
          </cell>
        </row>
        <row r="259">
          <cell r="G259">
            <v>0</v>
          </cell>
          <cell r="J259" t="str">
            <v>446</v>
          </cell>
        </row>
        <row r="260">
          <cell r="G260">
            <v>0</v>
          </cell>
          <cell r="J260" t="str">
            <v>447</v>
          </cell>
        </row>
        <row r="261">
          <cell r="G261">
            <v>0</v>
          </cell>
          <cell r="J261" t="str">
            <v>448</v>
          </cell>
        </row>
        <row r="262">
          <cell r="G262">
            <v>0</v>
          </cell>
          <cell r="J262" t="str">
            <v>448</v>
          </cell>
        </row>
        <row r="263">
          <cell r="G263">
            <v>0</v>
          </cell>
          <cell r="J263" t="str">
            <v>449</v>
          </cell>
        </row>
        <row r="264">
          <cell r="G264">
            <v>0</v>
          </cell>
          <cell r="J264" t="str">
            <v>45</v>
          </cell>
        </row>
        <row r="265">
          <cell r="G265">
            <v>0</v>
          </cell>
          <cell r="J265" t="str">
            <v>451</v>
          </cell>
        </row>
        <row r="266">
          <cell r="G266">
            <v>0</v>
          </cell>
          <cell r="J266" t="str">
            <v>452</v>
          </cell>
        </row>
        <row r="267">
          <cell r="G267">
            <v>0</v>
          </cell>
          <cell r="J267" t="str">
            <v>458</v>
          </cell>
        </row>
        <row r="268">
          <cell r="G268">
            <v>0</v>
          </cell>
          <cell r="J268" t="str">
            <v>458</v>
          </cell>
        </row>
        <row r="269">
          <cell r="G269">
            <v>0</v>
          </cell>
          <cell r="J269" t="str">
            <v>46</v>
          </cell>
        </row>
        <row r="270">
          <cell r="G270">
            <v>0</v>
          </cell>
          <cell r="J270" t="str">
            <v>461</v>
          </cell>
        </row>
        <row r="271">
          <cell r="G271">
            <v>0</v>
          </cell>
          <cell r="J271" t="str">
            <v>462</v>
          </cell>
        </row>
        <row r="272">
          <cell r="G272">
            <v>0</v>
          </cell>
          <cell r="J272" t="str">
            <v>463</v>
          </cell>
        </row>
        <row r="273">
          <cell r="G273">
            <v>0</v>
          </cell>
          <cell r="J273" t="str">
            <v>465</v>
          </cell>
        </row>
        <row r="274">
          <cell r="G274">
            <v>0</v>
          </cell>
          <cell r="J274" t="str">
            <v>466</v>
          </cell>
        </row>
        <row r="275">
          <cell r="G275">
            <v>0</v>
          </cell>
          <cell r="J275" t="str">
            <v>467</v>
          </cell>
        </row>
        <row r="276">
          <cell r="G276">
            <v>0</v>
          </cell>
          <cell r="J276" t="str">
            <v>47</v>
          </cell>
        </row>
        <row r="277">
          <cell r="G277">
            <v>0</v>
          </cell>
          <cell r="J277" t="str">
            <v>471</v>
          </cell>
        </row>
        <row r="278">
          <cell r="G278">
            <v>0</v>
          </cell>
          <cell r="J278" t="str">
            <v>471</v>
          </cell>
        </row>
        <row r="279">
          <cell r="G279">
            <v>0</v>
          </cell>
          <cell r="J279" t="str">
            <v>472</v>
          </cell>
        </row>
        <row r="280">
          <cell r="G280">
            <v>0</v>
          </cell>
          <cell r="J280" t="str">
            <v>474</v>
          </cell>
        </row>
        <row r="281">
          <cell r="G281">
            <v>0</v>
          </cell>
          <cell r="J281" t="str">
            <v>475</v>
          </cell>
        </row>
        <row r="282">
          <cell r="G282">
            <v>0</v>
          </cell>
          <cell r="J282" t="str">
            <v>476</v>
          </cell>
        </row>
        <row r="283">
          <cell r="G283">
            <v>0</v>
          </cell>
          <cell r="J283" t="str">
            <v>477</v>
          </cell>
        </row>
        <row r="284">
          <cell r="G284">
            <v>0</v>
          </cell>
          <cell r="J284" t="str">
            <v>478</v>
          </cell>
        </row>
        <row r="285">
          <cell r="G285">
            <v>0</v>
          </cell>
          <cell r="J285" t="str">
            <v>478</v>
          </cell>
        </row>
        <row r="286">
          <cell r="G286">
            <v>0</v>
          </cell>
          <cell r="J286" t="str">
            <v>478</v>
          </cell>
        </row>
        <row r="287">
          <cell r="G287">
            <v>0</v>
          </cell>
          <cell r="J287" t="str">
            <v>478</v>
          </cell>
        </row>
        <row r="288">
          <cell r="G288">
            <v>0</v>
          </cell>
          <cell r="J288" t="str">
            <v>479</v>
          </cell>
        </row>
        <row r="289">
          <cell r="G289">
            <v>0</v>
          </cell>
          <cell r="J289" t="str">
            <v>479</v>
          </cell>
        </row>
        <row r="290">
          <cell r="G290">
            <v>0</v>
          </cell>
          <cell r="J290" t="str">
            <v>479</v>
          </cell>
        </row>
        <row r="291">
          <cell r="G291">
            <v>0</v>
          </cell>
          <cell r="J291" t="str">
            <v>479</v>
          </cell>
        </row>
        <row r="292">
          <cell r="G292">
            <v>0</v>
          </cell>
          <cell r="J292" t="str">
            <v>48</v>
          </cell>
        </row>
        <row r="293">
          <cell r="G293">
            <v>0</v>
          </cell>
          <cell r="J293" t="str">
            <v>481</v>
          </cell>
        </row>
        <row r="294">
          <cell r="G294">
            <v>0</v>
          </cell>
          <cell r="J294" t="str">
            <v>482</v>
          </cell>
        </row>
        <row r="295">
          <cell r="G295">
            <v>0</v>
          </cell>
          <cell r="J295" t="str">
            <v>483</v>
          </cell>
        </row>
        <row r="296">
          <cell r="G296">
            <v>0</v>
          </cell>
          <cell r="J296" t="str">
            <v>484</v>
          </cell>
        </row>
        <row r="297">
          <cell r="G297">
            <v>0</v>
          </cell>
          <cell r="J297" t="str">
            <v>485</v>
          </cell>
        </row>
        <row r="298">
          <cell r="G298">
            <v>0</v>
          </cell>
          <cell r="J298" t="str">
            <v>486</v>
          </cell>
        </row>
        <row r="299">
          <cell r="G299">
            <v>0</v>
          </cell>
          <cell r="J299" t="str">
            <v>488</v>
          </cell>
        </row>
        <row r="300">
          <cell r="G300">
            <v>0</v>
          </cell>
          <cell r="J300" t="str">
            <v>49</v>
          </cell>
        </row>
        <row r="301">
          <cell r="G301">
            <v>0</v>
          </cell>
          <cell r="J301" t="str">
            <v>49</v>
          </cell>
        </row>
        <row r="302">
          <cell r="G302">
            <v>0</v>
          </cell>
          <cell r="J302" t="str">
            <v>491</v>
          </cell>
        </row>
        <row r="303">
          <cell r="G303">
            <v>0</v>
          </cell>
          <cell r="J303" t="str">
            <v>492</v>
          </cell>
        </row>
        <row r="304">
          <cell r="G304">
            <v>0</v>
          </cell>
          <cell r="J304" t="str">
            <v>493</v>
          </cell>
        </row>
        <row r="305">
          <cell r="G305">
            <v>0</v>
          </cell>
          <cell r="J305" t="str">
            <v>494</v>
          </cell>
        </row>
        <row r="306">
          <cell r="G306">
            <v>0</v>
          </cell>
          <cell r="J306" t="str">
            <v>495</v>
          </cell>
        </row>
        <row r="307">
          <cell r="G307">
            <v>0</v>
          </cell>
          <cell r="J307" t="str">
            <v>496</v>
          </cell>
        </row>
        <row r="308">
          <cell r="G308">
            <v>0</v>
          </cell>
          <cell r="J308" t="str">
            <v>497</v>
          </cell>
        </row>
        <row r="309">
          <cell r="G309">
            <v>0</v>
          </cell>
          <cell r="J309" t="str">
            <v>498</v>
          </cell>
        </row>
        <row r="310">
          <cell r="G310">
            <v>0</v>
          </cell>
          <cell r="J310" t="str">
            <v>498</v>
          </cell>
        </row>
        <row r="311">
          <cell r="G311">
            <v>0</v>
          </cell>
          <cell r="J311" t="str">
            <v>498</v>
          </cell>
        </row>
        <row r="312">
          <cell r="G312">
            <v>0</v>
          </cell>
          <cell r="J312" t="str">
            <v>498</v>
          </cell>
        </row>
        <row r="313">
          <cell r="G313">
            <v>0</v>
          </cell>
          <cell r="J313" t="str">
            <v>499</v>
          </cell>
        </row>
        <row r="314">
          <cell r="G314">
            <v>0</v>
          </cell>
          <cell r="J314" t="str">
            <v>499</v>
          </cell>
        </row>
        <row r="315">
          <cell r="G315">
            <v>0</v>
          </cell>
          <cell r="J315" t="str">
            <v>499</v>
          </cell>
        </row>
        <row r="316">
          <cell r="G316">
            <v>0</v>
          </cell>
          <cell r="J316" t="str">
            <v>500</v>
          </cell>
        </row>
        <row r="317">
          <cell r="G317">
            <v>0</v>
          </cell>
          <cell r="J317" t="str">
            <v>50</v>
          </cell>
        </row>
        <row r="318">
          <cell r="G318">
            <v>0</v>
          </cell>
          <cell r="J318" t="str">
            <v>501</v>
          </cell>
        </row>
        <row r="319">
          <cell r="G319">
            <v>0</v>
          </cell>
          <cell r="J319" t="str">
            <v>502</v>
          </cell>
        </row>
        <row r="320">
          <cell r="G320">
            <v>0</v>
          </cell>
          <cell r="J320" t="str">
            <v>503</v>
          </cell>
        </row>
        <row r="321">
          <cell r="G321">
            <v>0</v>
          </cell>
          <cell r="J321" t="str">
            <v>504</v>
          </cell>
        </row>
        <row r="322">
          <cell r="G322">
            <v>0</v>
          </cell>
          <cell r="J322" t="str">
            <v>51</v>
          </cell>
        </row>
        <row r="323">
          <cell r="G323">
            <v>0</v>
          </cell>
          <cell r="J323" t="str">
            <v>52</v>
          </cell>
        </row>
        <row r="324">
          <cell r="G324">
            <v>0</v>
          </cell>
          <cell r="J324" t="str">
            <v>521</v>
          </cell>
        </row>
        <row r="325">
          <cell r="G325">
            <v>0</v>
          </cell>
          <cell r="J325" t="str">
            <v>521</v>
          </cell>
        </row>
        <row r="326">
          <cell r="G326">
            <v>0</v>
          </cell>
          <cell r="J326" t="str">
            <v>522</v>
          </cell>
        </row>
        <row r="327">
          <cell r="G327">
            <v>0</v>
          </cell>
          <cell r="J327" t="str">
            <v>523</v>
          </cell>
        </row>
        <row r="328">
          <cell r="G328">
            <v>0</v>
          </cell>
          <cell r="J328" t="str">
            <v>524</v>
          </cell>
        </row>
        <row r="329">
          <cell r="G329">
            <v>0</v>
          </cell>
          <cell r="J329" t="str">
            <v>526</v>
          </cell>
        </row>
        <row r="330">
          <cell r="G330">
            <v>0</v>
          </cell>
          <cell r="J330" t="str">
            <v>53</v>
          </cell>
        </row>
        <row r="331">
          <cell r="G331">
            <v>0</v>
          </cell>
          <cell r="J331" t="str">
            <v>54</v>
          </cell>
        </row>
        <row r="332">
          <cell r="G332">
            <v>0</v>
          </cell>
          <cell r="J332" t="str">
            <v>541</v>
          </cell>
        </row>
        <row r="333">
          <cell r="G333">
            <v>0</v>
          </cell>
          <cell r="J333" t="str">
            <v>542</v>
          </cell>
        </row>
        <row r="334">
          <cell r="G334">
            <v>0</v>
          </cell>
          <cell r="J334" t="str">
            <v>543</v>
          </cell>
        </row>
        <row r="335">
          <cell r="G335">
            <v>0</v>
          </cell>
          <cell r="J335" t="str">
            <v>544</v>
          </cell>
        </row>
        <row r="336">
          <cell r="G336">
            <v>0</v>
          </cell>
          <cell r="J336" t="str">
            <v>545</v>
          </cell>
        </row>
        <row r="337">
          <cell r="G337">
            <v>0</v>
          </cell>
          <cell r="J337" t="str">
            <v>56</v>
          </cell>
        </row>
        <row r="338">
          <cell r="G338">
            <v>0</v>
          </cell>
          <cell r="J338" t="str">
            <v>561</v>
          </cell>
        </row>
        <row r="339">
          <cell r="G339">
            <v>0</v>
          </cell>
          <cell r="J339" t="str">
            <v>564</v>
          </cell>
        </row>
        <row r="340">
          <cell r="G340">
            <v>0</v>
          </cell>
          <cell r="J340" t="str">
            <v>565</v>
          </cell>
        </row>
        <row r="341">
          <cell r="G341">
            <v>0</v>
          </cell>
          <cell r="J341" t="str">
            <v>566</v>
          </cell>
        </row>
        <row r="342">
          <cell r="G342">
            <v>0</v>
          </cell>
          <cell r="J342" t="str">
            <v>57</v>
          </cell>
        </row>
        <row r="343">
          <cell r="G343">
            <v>0</v>
          </cell>
          <cell r="J343" t="str">
            <v>58</v>
          </cell>
        </row>
        <row r="344">
          <cell r="G344">
            <v>0</v>
          </cell>
          <cell r="J344" t="str">
            <v>59</v>
          </cell>
        </row>
        <row r="345">
          <cell r="G345">
            <v>0</v>
          </cell>
          <cell r="J345" t="str">
            <v>590</v>
          </cell>
        </row>
        <row r="346">
          <cell r="G346">
            <v>0</v>
          </cell>
          <cell r="J346" t="str">
            <v>591</v>
          </cell>
        </row>
        <row r="347">
          <cell r="G347">
            <v>0</v>
          </cell>
          <cell r="J347" t="str">
            <v>592</v>
          </cell>
        </row>
        <row r="348">
          <cell r="G348">
            <v>1250000</v>
          </cell>
          <cell r="J348" t="str">
            <v>601</v>
          </cell>
        </row>
        <row r="349">
          <cell r="G349">
            <v>0</v>
          </cell>
          <cell r="J349" t="str">
            <v>602</v>
          </cell>
        </row>
        <row r="350">
          <cell r="G350">
            <v>0</v>
          </cell>
          <cell r="J350" t="str">
            <v>602</v>
          </cell>
        </row>
        <row r="351">
          <cell r="G351">
            <v>0</v>
          </cell>
          <cell r="J351" t="str">
            <v>602</v>
          </cell>
        </row>
        <row r="352">
          <cell r="G352">
            <v>0</v>
          </cell>
          <cell r="J352" t="str">
            <v>602</v>
          </cell>
        </row>
        <row r="353">
          <cell r="G353">
            <v>0</v>
          </cell>
          <cell r="J353" t="str">
            <v>602</v>
          </cell>
        </row>
        <row r="354">
          <cell r="G354">
            <v>0</v>
          </cell>
          <cell r="J354" t="str">
            <v>602</v>
          </cell>
        </row>
        <row r="355">
          <cell r="J355" t="str">
            <v>603</v>
          </cell>
        </row>
        <row r="356">
          <cell r="J356" t="str">
            <v>603</v>
          </cell>
        </row>
        <row r="357">
          <cell r="J357" t="str">
            <v>603</v>
          </cell>
        </row>
        <row r="358">
          <cell r="G358">
            <v>1497900</v>
          </cell>
        </row>
        <row r="359">
          <cell r="G359">
            <v>620000</v>
          </cell>
          <cell r="J359" t="str">
            <v>604</v>
          </cell>
        </row>
        <row r="360">
          <cell r="G360">
            <v>620000</v>
          </cell>
          <cell r="J360" t="str">
            <v>605</v>
          </cell>
        </row>
        <row r="361">
          <cell r="G361">
            <v>0</v>
          </cell>
          <cell r="J361" t="str">
            <v>605</v>
          </cell>
        </row>
        <row r="362">
          <cell r="G362">
            <v>0</v>
          </cell>
          <cell r="J362" t="str">
            <v>605</v>
          </cell>
        </row>
        <row r="363">
          <cell r="G363">
            <v>35800</v>
          </cell>
          <cell r="J363" t="str">
            <v>605</v>
          </cell>
        </row>
        <row r="364">
          <cell r="G364">
            <v>180000</v>
          </cell>
          <cell r="J364" t="str">
            <v>605</v>
          </cell>
        </row>
        <row r="365">
          <cell r="G365">
            <v>0</v>
          </cell>
          <cell r="J365" t="str">
            <v>605</v>
          </cell>
        </row>
        <row r="366">
          <cell r="G366">
            <v>42100</v>
          </cell>
          <cell r="J366" t="str">
            <v>605</v>
          </cell>
        </row>
        <row r="367">
          <cell r="G367">
            <v>0</v>
          </cell>
          <cell r="J367" t="str">
            <v>605</v>
          </cell>
        </row>
        <row r="368">
          <cell r="G368">
            <v>0</v>
          </cell>
          <cell r="J368" t="str">
            <v>605</v>
          </cell>
        </row>
        <row r="369">
          <cell r="G369">
            <v>0</v>
          </cell>
          <cell r="J369" t="str">
            <v>605</v>
          </cell>
        </row>
        <row r="370">
          <cell r="G370">
            <v>0</v>
          </cell>
          <cell r="J370" t="str">
            <v>608</v>
          </cell>
        </row>
        <row r="371">
          <cell r="G371">
            <v>20100</v>
          </cell>
          <cell r="J371" t="str">
            <v>61</v>
          </cell>
        </row>
        <row r="372">
          <cell r="G372">
            <v>0</v>
          </cell>
          <cell r="J372" t="str">
            <v>611</v>
          </cell>
        </row>
        <row r="373">
          <cell r="G373">
            <v>20100</v>
          </cell>
          <cell r="J373" t="str">
            <v>612</v>
          </cell>
        </row>
        <row r="374">
          <cell r="G374">
            <v>0</v>
          </cell>
          <cell r="J374" t="str">
            <v>613</v>
          </cell>
        </row>
        <row r="375">
          <cell r="G375">
            <v>0</v>
          </cell>
          <cell r="J375" t="str">
            <v>614</v>
          </cell>
        </row>
        <row r="376">
          <cell r="G376">
            <v>0</v>
          </cell>
          <cell r="J376" t="str">
            <v>618</v>
          </cell>
        </row>
        <row r="377">
          <cell r="G377">
            <v>70000</v>
          </cell>
        </row>
        <row r="378">
          <cell r="G378">
            <v>0</v>
          </cell>
          <cell r="J378" t="str">
            <v>621</v>
          </cell>
        </row>
        <row r="379">
          <cell r="G379">
            <v>0</v>
          </cell>
          <cell r="J379" t="str">
            <v>622</v>
          </cell>
        </row>
        <row r="380">
          <cell r="G380">
            <v>0</v>
          </cell>
          <cell r="J380" t="str">
            <v>623</v>
          </cell>
        </row>
        <row r="381">
          <cell r="G381">
            <v>0</v>
          </cell>
          <cell r="J381" t="str">
            <v>623</v>
          </cell>
        </row>
        <row r="382">
          <cell r="G382">
            <v>0</v>
          </cell>
          <cell r="J382" t="str">
            <v>623</v>
          </cell>
        </row>
        <row r="383">
          <cell r="G383">
            <v>0</v>
          </cell>
          <cell r="J383" t="str">
            <v>623</v>
          </cell>
        </row>
        <row r="384">
          <cell r="G384">
            <v>58000</v>
          </cell>
          <cell r="J384" t="str">
            <v>624</v>
          </cell>
        </row>
        <row r="385">
          <cell r="G385">
            <v>0</v>
          </cell>
          <cell r="J385" t="str">
            <v>624</v>
          </cell>
        </row>
        <row r="386">
          <cell r="G386">
            <v>0</v>
          </cell>
          <cell r="J386" t="str">
            <v>624</v>
          </cell>
        </row>
        <row r="387">
          <cell r="G387">
            <v>0</v>
          </cell>
          <cell r="J387" t="str">
            <v>624</v>
          </cell>
        </row>
        <row r="388">
          <cell r="G388">
            <v>0</v>
          </cell>
          <cell r="J388" t="str">
            <v>624</v>
          </cell>
        </row>
        <row r="389">
          <cell r="G389">
            <v>0</v>
          </cell>
          <cell r="J389" t="str">
            <v>625</v>
          </cell>
        </row>
        <row r="390">
          <cell r="G390">
            <v>0</v>
          </cell>
          <cell r="J390" t="str">
            <v>626</v>
          </cell>
        </row>
        <row r="391">
          <cell r="G391">
            <v>0</v>
          </cell>
          <cell r="J391" t="str">
            <v>627</v>
          </cell>
        </row>
        <row r="392">
          <cell r="G392">
            <v>12000</v>
          </cell>
          <cell r="J392" t="str">
            <v>628</v>
          </cell>
        </row>
        <row r="393">
          <cell r="G393">
            <v>0</v>
          </cell>
          <cell r="J393" t="str">
            <v>630</v>
          </cell>
        </row>
        <row r="394">
          <cell r="G394">
            <v>0</v>
          </cell>
          <cell r="J394" t="str">
            <v>631</v>
          </cell>
        </row>
        <row r="395">
          <cell r="G395">
            <v>0</v>
          </cell>
          <cell r="J395" t="str">
            <v>632</v>
          </cell>
        </row>
        <row r="396">
          <cell r="G396">
            <v>0</v>
          </cell>
          <cell r="J396" t="str">
            <v>633</v>
          </cell>
        </row>
        <row r="397">
          <cell r="G397">
            <v>0</v>
          </cell>
          <cell r="J397" t="str">
            <v>634</v>
          </cell>
        </row>
        <row r="398">
          <cell r="G398">
            <v>0</v>
          </cell>
          <cell r="J398" t="str">
            <v>634</v>
          </cell>
        </row>
        <row r="399">
          <cell r="G399">
            <v>0</v>
          </cell>
          <cell r="J399" t="str">
            <v>634</v>
          </cell>
        </row>
        <row r="400">
          <cell r="G400">
            <v>0</v>
          </cell>
          <cell r="J400" t="str">
            <v>634</v>
          </cell>
        </row>
        <row r="401">
          <cell r="G401">
            <v>0</v>
          </cell>
          <cell r="J401" t="str">
            <v>635</v>
          </cell>
        </row>
        <row r="402">
          <cell r="G402">
            <v>0</v>
          </cell>
          <cell r="J402" t="str">
            <v>635</v>
          </cell>
        </row>
        <row r="403">
          <cell r="G403">
            <v>0</v>
          </cell>
          <cell r="J403" t="str">
            <v>635</v>
          </cell>
        </row>
        <row r="404">
          <cell r="G404">
            <v>0</v>
          </cell>
          <cell r="J404" t="str">
            <v>637</v>
          </cell>
        </row>
        <row r="405">
          <cell r="G405">
            <v>0</v>
          </cell>
          <cell r="J405" t="str">
            <v>637</v>
          </cell>
        </row>
        <row r="406">
          <cell r="G406">
            <v>0</v>
          </cell>
          <cell r="J406" t="str">
            <v>637</v>
          </cell>
        </row>
        <row r="407">
          <cell r="G407">
            <v>0</v>
          </cell>
          <cell r="J407" t="str">
            <v>638</v>
          </cell>
        </row>
        <row r="408">
          <cell r="G408">
            <v>0</v>
          </cell>
          <cell r="J408" t="str">
            <v>640</v>
          </cell>
        </row>
        <row r="409">
          <cell r="G409">
            <v>0</v>
          </cell>
          <cell r="J409" t="str">
            <v>641</v>
          </cell>
        </row>
        <row r="410">
          <cell r="G410">
            <v>0</v>
          </cell>
          <cell r="J410" t="str">
            <v>641</v>
          </cell>
        </row>
        <row r="411">
          <cell r="G411">
            <v>0</v>
          </cell>
          <cell r="J411" t="str">
            <v>641</v>
          </cell>
        </row>
        <row r="412">
          <cell r="G412">
            <v>0</v>
          </cell>
          <cell r="J412" t="str">
            <v>641</v>
          </cell>
        </row>
        <row r="413">
          <cell r="G413">
            <v>0</v>
          </cell>
          <cell r="J413" t="str">
            <v>641</v>
          </cell>
        </row>
        <row r="414">
          <cell r="G414">
            <v>0</v>
          </cell>
          <cell r="J414" t="str">
            <v>641</v>
          </cell>
        </row>
        <row r="415">
          <cell r="G415">
            <v>0</v>
          </cell>
          <cell r="J415" t="str">
            <v>641</v>
          </cell>
        </row>
        <row r="416">
          <cell r="G416">
            <v>0</v>
          </cell>
          <cell r="J416" t="str">
            <v>645</v>
          </cell>
        </row>
        <row r="417">
          <cell r="G417">
            <v>0</v>
          </cell>
          <cell r="J417" t="str">
            <v>646</v>
          </cell>
        </row>
        <row r="418">
          <cell r="G418">
            <v>0</v>
          </cell>
          <cell r="J418" t="str">
            <v>646</v>
          </cell>
        </row>
        <row r="419">
          <cell r="G419">
            <v>0</v>
          </cell>
          <cell r="J419" t="str">
            <v>646</v>
          </cell>
        </row>
        <row r="420">
          <cell r="G420">
            <v>0</v>
          </cell>
          <cell r="J420" t="str">
            <v>646</v>
          </cell>
        </row>
        <row r="421">
          <cell r="G421">
            <v>0</v>
          </cell>
          <cell r="J421" t="str">
            <v>646</v>
          </cell>
        </row>
        <row r="422">
          <cell r="G422">
            <v>0</v>
          </cell>
          <cell r="J422" t="str">
            <v>646</v>
          </cell>
        </row>
        <row r="423">
          <cell r="G423">
            <v>0</v>
          </cell>
          <cell r="J423" t="str">
            <v>647</v>
          </cell>
        </row>
        <row r="424">
          <cell r="G424">
            <v>0</v>
          </cell>
          <cell r="J424" t="str">
            <v>65</v>
          </cell>
        </row>
        <row r="425">
          <cell r="G425">
            <v>0</v>
          </cell>
          <cell r="J425" t="str">
            <v>651</v>
          </cell>
        </row>
        <row r="426">
          <cell r="G426">
            <v>0</v>
          </cell>
          <cell r="J426" t="str">
            <v>652</v>
          </cell>
        </row>
        <row r="427">
          <cell r="G427">
            <v>0</v>
          </cell>
          <cell r="J427" t="str">
            <v>652</v>
          </cell>
        </row>
        <row r="428">
          <cell r="G428">
            <v>0</v>
          </cell>
          <cell r="J428" t="str">
            <v>652</v>
          </cell>
        </row>
        <row r="429">
          <cell r="G429">
            <v>0</v>
          </cell>
          <cell r="J429" t="str">
            <v>653</v>
          </cell>
        </row>
        <row r="430">
          <cell r="G430">
            <v>0</v>
          </cell>
          <cell r="J430" t="str">
            <v>654</v>
          </cell>
        </row>
        <row r="431">
          <cell r="G431">
            <v>0</v>
          </cell>
          <cell r="J431" t="str">
            <v>654</v>
          </cell>
        </row>
        <row r="432">
          <cell r="G432">
            <v>0</v>
          </cell>
          <cell r="J432" t="str">
            <v>654</v>
          </cell>
        </row>
        <row r="433">
          <cell r="G433">
            <v>0</v>
          </cell>
          <cell r="J433" t="str">
            <v>654</v>
          </cell>
        </row>
        <row r="434">
          <cell r="G434">
            <v>0</v>
          </cell>
          <cell r="J434" t="str">
            <v>654</v>
          </cell>
        </row>
        <row r="435">
          <cell r="G435">
            <v>0</v>
          </cell>
          <cell r="J435" t="str">
            <v>654</v>
          </cell>
        </row>
        <row r="436">
          <cell r="G436">
            <v>0</v>
          </cell>
          <cell r="J436" t="str">
            <v>654</v>
          </cell>
        </row>
        <row r="437">
          <cell r="G437">
            <v>0</v>
          </cell>
          <cell r="J437" t="str">
            <v>658</v>
          </cell>
        </row>
        <row r="438">
          <cell r="G438">
            <v>0</v>
          </cell>
          <cell r="J438" t="str">
            <v>658</v>
          </cell>
        </row>
        <row r="439">
          <cell r="G439">
            <v>0</v>
          </cell>
          <cell r="J439" t="str">
            <v>658</v>
          </cell>
        </row>
        <row r="440">
          <cell r="G440">
            <v>0</v>
          </cell>
          <cell r="J440" t="str">
            <v>658</v>
          </cell>
        </row>
        <row r="441">
          <cell r="G441">
            <v>0</v>
          </cell>
          <cell r="J441" t="str">
            <v>659</v>
          </cell>
        </row>
        <row r="442">
          <cell r="G442">
            <v>0</v>
          </cell>
          <cell r="J442" t="str">
            <v>659</v>
          </cell>
        </row>
        <row r="443">
          <cell r="G443">
            <v>0</v>
          </cell>
          <cell r="J443" t="str">
            <v>659</v>
          </cell>
        </row>
        <row r="444">
          <cell r="G444">
            <v>0</v>
          </cell>
          <cell r="J444" t="str">
            <v>659</v>
          </cell>
        </row>
        <row r="445">
          <cell r="G445">
            <v>0</v>
          </cell>
          <cell r="J445" t="str">
            <v>659</v>
          </cell>
        </row>
        <row r="446">
          <cell r="G446">
            <v>0</v>
          </cell>
          <cell r="J446" t="str">
            <v>66</v>
          </cell>
        </row>
        <row r="447">
          <cell r="G447">
            <v>0</v>
          </cell>
          <cell r="J447" t="str">
            <v>661</v>
          </cell>
        </row>
        <row r="448">
          <cell r="G448">
            <v>0</v>
          </cell>
          <cell r="J448" t="str">
            <v>661</v>
          </cell>
        </row>
        <row r="449">
          <cell r="G449">
            <v>0</v>
          </cell>
          <cell r="J449" t="str">
            <v>661</v>
          </cell>
        </row>
        <row r="450">
          <cell r="G450">
            <v>0</v>
          </cell>
          <cell r="J450" t="str">
            <v>661</v>
          </cell>
        </row>
        <row r="451">
          <cell r="G451">
            <v>0</v>
          </cell>
          <cell r="J451" t="str">
            <v>661</v>
          </cell>
        </row>
        <row r="452">
          <cell r="G452">
            <v>0</v>
          </cell>
          <cell r="J452" t="str">
            <v>661</v>
          </cell>
        </row>
        <row r="453">
          <cell r="G453">
            <v>0</v>
          </cell>
          <cell r="J453" t="str">
            <v>661</v>
          </cell>
        </row>
        <row r="454">
          <cell r="G454">
            <v>0</v>
          </cell>
          <cell r="J454" t="str">
            <v>661</v>
          </cell>
        </row>
        <row r="455">
          <cell r="G455">
            <v>0</v>
          </cell>
          <cell r="J455" t="str">
            <v>661</v>
          </cell>
        </row>
        <row r="456">
          <cell r="G456">
            <v>0</v>
          </cell>
          <cell r="J456" t="str">
            <v>662</v>
          </cell>
        </row>
        <row r="457">
          <cell r="G457">
            <v>0</v>
          </cell>
          <cell r="J457" t="str">
            <v>662</v>
          </cell>
        </row>
        <row r="458">
          <cell r="G458">
            <v>0</v>
          </cell>
          <cell r="J458" t="str">
            <v>662</v>
          </cell>
        </row>
        <row r="459">
          <cell r="G459">
            <v>0</v>
          </cell>
          <cell r="J459" t="str">
            <v>662</v>
          </cell>
        </row>
        <row r="460">
          <cell r="G460">
            <v>0</v>
          </cell>
          <cell r="J460" t="str">
            <v>662</v>
          </cell>
        </row>
        <row r="461">
          <cell r="G461">
            <v>0</v>
          </cell>
          <cell r="J461" t="str">
            <v>662</v>
          </cell>
        </row>
        <row r="462">
          <cell r="G462">
            <v>0</v>
          </cell>
          <cell r="J462" t="str">
            <v>662</v>
          </cell>
        </row>
        <row r="463">
          <cell r="G463">
            <v>0</v>
          </cell>
          <cell r="J463" t="str">
            <v>662</v>
          </cell>
        </row>
        <row r="464">
          <cell r="G464">
            <v>0</v>
          </cell>
          <cell r="J464" t="str">
            <v>662</v>
          </cell>
        </row>
        <row r="465">
          <cell r="G465">
            <v>0</v>
          </cell>
          <cell r="J465" t="str">
            <v>663</v>
          </cell>
        </row>
        <row r="466">
          <cell r="G466">
            <v>0</v>
          </cell>
          <cell r="J466" t="str">
            <v>664</v>
          </cell>
        </row>
        <row r="467">
          <cell r="G467">
            <v>0</v>
          </cell>
          <cell r="J467" t="str">
            <v>664</v>
          </cell>
        </row>
        <row r="468">
          <cell r="G468">
            <v>0</v>
          </cell>
          <cell r="J468" t="str">
            <v>664</v>
          </cell>
        </row>
        <row r="469">
          <cell r="G469">
            <v>0</v>
          </cell>
          <cell r="J469" t="str">
            <v>666</v>
          </cell>
        </row>
        <row r="470">
          <cell r="G470">
            <v>0</v>
          </cell>
          <cell r="J470" t="str">
            <v>666</v>
          </cell>
        </row>
        <row r="471">
          <cell r="G471">
            <v>0</v>
          </cell>
          <cell r="J471" t="str">
            <v>666</v>
          </cell>
        </row>
        <row r="472">
          <cell r="G472">
            <v>0</v>
          </cell>
          <cell r="J472" t="str">
            <v>667</v>
          </cell>
        </row>
        <row r="473">
          <cell r="G473">
            <v>0</v>
          </cell>
          <cell r="J473" t="str">
            <v>667</v>
          </cell>
        </row>
        <row r="474">
          <cell r="G474">
            <v>0</v>
          </cell>
          <cell r="J474" t="str">
            <v>667</v>
          </cell>
        </row>
        <row r="475">
          <cell r="G475">
            <v>0</v>
          </cell>
          <cell r="J475" t="str">
            <v>668</v>
          </cell>
        </row>
        <row r="476">
          <cell r="G476">
            <v>0</v>
          </cell>
          <cell r="J476" t="str">
            <v>67</v>
          </cell>
        </row>
        <row r="477">
          <cell r="G477">
            <v>0</v>
          </cell>
          <cell r="J477" t="str">
            <v>671</v>
          </cell>
        </row>
        <row r="478">
          <cell r="G478">
            <v>0</v>
          </cell>
          <cell r="J478" t="str">
            <v>672</v>
          </cell>
        </row>
        <row r="479">
          <cell r="G479">
            <v>0</v>
          </cell>
          <cell r="J479" t="str">
            <v>672</v>
          </cell>
        </row>
        <row r="480">
          <cell r="G480">
            <v>0</v>
          </cell>
          <cell r="J480" t="str">
            <v>672</v>
          </cell>
        </row>
        <row r="481">
          <cell r="G481">
            <v>0</v>
          </cell>
          <cell r="J481" t="str">
            <v>672</v>
          </cell>
        </row>
        <row r="482">
          <cell r="G482">
            <v>0</v>
          </cell>
          <cell r="J482" t="str">
            <v>673</v>
          </cell>
        </row>
        <row r="483">
          <cell r="G483">
            <v>0</v>
          </cell>
          <cell r="J483" t="str">
            <v>674</v>
          </cell>
        </row>
        <row r="484">
          <cell r="G484">
            <v>0</v>
          </cell>
          <cell r="J484" t="str">
            <v>676</v>
          </cell>
        </row>
        <row r="485">
          <cell r="G485">
            <v>0</v>
          </cell>
          <cell r="J485" t="str">
            <v>677</v>
          </cell>
        </row>
        <row r="486">
          <cell r="G486">
            <v>0</v>
          </cell>
          <cell r="J486" t="str">
            <v>678</v>
          </cell>
        </row>
        <row r="487">
          <cell r="G487">
            <v>0</v>
          </cell>
          <cell r="J487" t="str">
            <v>678</v>
          </cell>
        </row>
        <row r="488">
          <cell r="G488">
            <v>0</v>
          </cell>
          <cell r="J488" t="str">
            <v>678</v>
          </cell>
        </row>
        <row r="489">
          <cell r="G489">
            <v>0</v>
          </cell>
          <cell r="J489" t="str">
            <v>678</v>
          </cell>
        </row>
        <row r="490">
          <cell r="G490">
            <v>0</v>
          </cell>
          <cell r="J490" t="str">
            <v>679</v>
          </cell>
        </row>
        <row r="491">
          <cell r="G491">
            <v>0</v>
          </cell>
          <cell r="J491" t="str">
            <v>679</v>
          </cell>
        </row>
        <row r="492">
          <cell r="G492">
            <v>0</v>
          </cell>
          <cell r="J492" t="str">
            <v>679</v>
          </cell>
        </row>
        <row r="493">
          <cell r="G493">
            <v>0</v>
          </cell>
          <cell r="J493" t="str">
            <v>679</v>
          </cell>
        </row>
        <row r="494">
          <cell r="G494">
            <v>0</v>
          </cell>
        </row>
        <row r="495">
          <cell r="G495">
            <v>0</v>
          </cell>
          <cell r="J495" t="str">
            <v>68</v>
          </cell>
        </row>
        <row r="496">
          <cell r="G496">
            <v>0</v>
          </cell>
          <cell r="J496" t="str">
            <v>681</v>
          </cell>
        </row>
        <row r="497">
          <cell r="G497">
            <v>0</v>
          </cell>
          <cell r="J497" t="str">
            <v>681</v>
          </cell>
        </row>
        <row r="498">
          <cell r="G498">
            <v>0</v>
          </cell>
          <cell r="J498" t="str">
            <v>681</v>
          </cell>
        </row>
        <row r="499">
          <cell r="G499">
            <v>0</v>
          </cell>
          <cell r="J499" t="str">
            <v>681</v>
          </cell>
        </row>
        <row r="500">
          <cell r="G500">
            <v>0</v>
          </cell>
          <cell r="J500" t="str">
            <v>681</v>
          </cell>
        </row>
        <row r="501">
          <cell r="G501">
            <v>0</v>
          </cell>
          <cell r="J501" t="str">
            <v>681</v>
          </cell>
        </row>
        <row r="502">
          <cell r="G502">
            <v>0</v>
          </cell>
          <cell r="J502" t="str">
            <v>681</v>
          </cell>
        </row>
        <row r="503">
          <cell r="G503">
            <v>0</v>
          </cell>
          <cell r="J503" t="str">
            <v>681</v>
          </cell>
        </row>
        <row r="504">
          <cell r="G504">
            <v>0</v>
          </cell>
          <cell r="J504" t="str">
            <v>681</v>
          </cell>
        </row>
        <row r="505">
          <cell r="G505">
            <v>0</v>
          </cell>
          <cell r="J505" t="str">
            <v>681</v>
          </cell>
        </row>
        <row r="506">
          <cell r="G506">
            <v>0</v>
          </cell>
          <cell r="J506" t="str">
            <v>681</v>
          </cell>
        </row>
        <row r="507">
          <cell r="G507">
            <v>0</v>
          </cell>
          <cell r="J507" t="str">
            <v>687</v>
          </cell>
        </row>
        <row r="508">
          <cell r="G508">
            <v>0</v>
          </cell>
          <cell r="J508" t="str">
            <v>687</v>
          </cell>
        </row>
        <row r="509">
          <cell r="G509">
            <v>0</v>
          </cell>
          <cell r="J509" t="str">
            <v>687</v>
          </cell>
        </row>
        <row r="510">
          <cell r="G510">
            <v>0</v>
          </cell>
          <cell r="J510" t="str">
            <v>690</v>
          </cell>
        </row>
        <row r="511">
          <cell r="G511">
            <v>0</v>
          </cell>
          <cell r="J511" t="str">
            <v>691</v>
          </cell>
        </row>
        <row r="512">
          <cell r="G512">
            <v>0</v>
          </cell>
          <cell r="J512" t="str">
            <v>691</v>
          </cell>
        </row>
        <row r="513">
          <cell r="G513">
            <v>0</v>
          </cell>
          <cell r="J513" t="str">
            <v>691</v>
          </cell>
        </row>
        <row r="514">
          <cell r="G514">
            <v>0</v>
          </cell>
          <cell r="J514" t="str">
            <v>691</v>
          </cell>
        </row>
        <row r="515">
          <cell r="G515">
            <v>0</v>
          </cell>
          <cell r="J515" t="str">
            <v>691</v>
          </cell>
        </row>
        <row r="516">
          <cell r="G516">
            <v>0</v>
          </cell>
          <cell r="J516" t="str">
            <v>697</v>
          </cell>
        </row>
        <row r="517">
          <cell r="G517">
            <v>0</v>
          </cell>
          <cell r="J517" t="str">
            <v>697</v>
          </cell>
        </row>
        <row r="518">
          <cell r="G518">
            <v>0</v>
          </cell>
          <cell r="J518" t="str">
            <v>697</v>
          </cell>
        </row>
        <row r="520">
          <cell r="J520" t="str">
            <v>701</v>
          </cell>
        </row>
        <row r="522">
          <cell r="J522" t="str">
            <v>702</v>
          </cell>
        </row>
        <row r="523">
          <cell r="J523" t="str">
            <v>702</v>
          </cell>
        </row>
        <row r="524">
          <cell r="J524" t="str">
            <v>702</v>
          </cell>
        </row>
        <row r="525">
          <cell r="J525" t="str">
            <v>702</v>
          </cell>
        </row>
        <row r="526">
          <cell r="J526" t="str">
            <v>702</v>
          </cell>
        </row>
        <row r="527">
          <cell r="J527" t="str">
            <v>703</v>
          </cell>
        </row>
        <row r="528">
          <cell r="J528" t="str">
            <v>703</v>
          </cell>
        </row>
        <row r="529">
          <cell r="J529" t="str">
            <v>703</v>
          </cell>
        </row>
        <row r="530">
          <cell r="J530" t="str">
            <v>703</v>
          </cell>
        </row>
        <row r="531">
          <cell r="J531" t="str">
            <v>703</v>
          </cell>
        </row>
        <row r="532">
          <cell r="J532" t="str">
            <v>704</v>
          </cell>
        </row>
        <row r="533">
          <cell r="J533" t="str">
            <v>704</v>
          </cell>
        </row>
        <row r="534">
          <cell r="J534" t="str">
            <v>704</v>
          </cell>
        </row>
        <row r="535">
          <cell r="J535" t="str">
            <v>704</v>
          </cell>
        </row>
        <row r="536">
          <cell r="J536" t="str">
            <v>704</v>
          </cell>
        </row>
        <row r="538">
          <cell r="J538" t="str">
            <v>705</v>
          </cell>
        </row>
        <row r="539">
          <cell r="J539" t="str">
            <v>705</v>
          </cell>
        </row>
        <row r="540">
          <cell r="J540" t="str">
            <v>705</v>
          </cell>
        </row>
        <row r="541">
          <cell r="J541" t="str">
            <v>705</v>
          </cell>
        </row>
        <row r="542">
          <cell r="J542" t="str">
            <v>705</v>
          </cell>
        </row>
        <row r="543">
          <cell r="J543" t="str">
            <v>706</v>
          </cell>
        </row>
        <row r="544">
          <cell r="J544" t="str">
            <v>706</v>
          </cell>
        </row>
        <row r="545">
          <cell r="J545" t="str">
            <v>706</v>
          </cell>
        </row>
        <row r="546">
          <cell r="J546" t="str">
            <v>706</v>
          </cell>
        </row>
        <row r="547">
          <cell r="J547" t="str">
            <v>706</v>
          </cell>
        </row>
        <row r="548">
          <cell r="J548" t="str">
            <v>707</v>
          </cell>
        </row>
        <row r="549">
          <cell r="J549" t="str">
            <v>707</v>
          </cell>
        </row>
        <row r="550">
          <cell r="J550" t="str">
            <v>707</v>
          </cell>
        </row>
        <row r="551">
          <cell r="J551" t="str">
            <v>707</v>
          </cell>
        </row>
        <row r="552">
          <cell r="J552" t="str">
            <v>707</v>
          </cell>
        </row>
        <row r="553">
          <cell r="J553" t="str">
            <v>707</v>
          </cell>
        </row>
        <row r="554">
          <cell r="J554" t="str">
            <v>707</v>
          </cell>
        </row>
        <row r="555">
          <cell r="J555" t="str">
            <v>707</v>
          </cell>
        </row>
        <row r="556">
          <cell r="J556" t="str">
            <v>707</v>
          </cell>
        </row>
        <row r="557">
          <cell r="J557" t="str">
            <v>71</v>
          </cell>
        </row>
        <row r="558">
          <cell r="J558" t="str">
            <v>711</v>
          </cell>
        </row>
        <row r="559">
          <cell r="J559" t="str">
            <v>712</v>
          </cell>
        </row>
        <row r="560">
          <cell r="J560" t="str">
            <v>713</v>
          </cell>
        </row>
        <row r="561">
          <cell r="J561" t="str">
            <v>718</v>
          </cell>
        </row>
        <row r="562">
          <cell r="J562" t="str">
            <v>72</v>
          </cell>
        </row>
        <row r="563">
          <cell r="J563" t="str">
            <v>721</v>
          </cell>
        </row>
        <row r="564">
          <cell r="J564" t="str">
            <v>722</v>
          </cell>
        </row>
        <row r="565">
          <cell r="J565" t="str">
            <v>726</v>
          </cell>
        </row>
        <row r="567">
          <cell r="J567" t="str">
            <v>730</v>
          </cell>
        </row>
        <row r="568">
          <cell r="J568" t="str">
            <v>734</v>
          </cell>
        </row>
        <row r="569">
          <cell r="J569" t="str">
            <v>735</v>
          </cell>
        </row>
        <row r="570">
          <cell r="J570" t="str">
            <v>736</v>
          </cell>
        </row>
        <row r="571">
          <cell r="J571" t="str">
            <v>737</v>
          </cell>
        </row>
        <row r="572">
          <cell r="J572" t="str">
            <v>75</v>
          </cell>
        </row>
        <row r="573">
          <cell r="J573" t="str">
            <v>752</v>
          </cell>
        </row>
        <row r="574">
          <cell r="J574" t="str">
            <v>752</v>
          </cell>
        </row>
        <row r="575">
          <cell r="J575" t="str">
            <v>752</v>
          </cell>
        </row>
        <row r="576">
          <cell r="J576" t="str">
            <v>753</v>
          </cell>
        </row>
        <row r="577">
          <cell r="J577" t="str">
            <v>754</v>
          </cell>
        </row>
        <row r="578">
          <cell r="J578" t="str">
            <v>754</v>
          </cell>
        </row>
        <row r="579">
          <cell r="J579" t="str">
            <v>754</v>
          </cell>
        </row>
        <row r="580">
          <cell r="J580" t="str">
            <v>754</v>
          </cell>
        </row>
        <row r="581">
          <cell r="J581" t="str">
            <v>758</v>
          </cell>
        </row>
        <row r="582">
          <cell r="J582" t="str">
            <v>758</v>
          </cell>
        </row>
        <row r="583">
          <cell r="J583" t="str">
            <v>758</v>
          </cell>
        </row>
        <row r="584">
          <cell r="J584" t="str">
            <v>759</v>
          </cell>
        </row>
        <row r="585">
          <cell r="J585" t="str">
            <v>759</v>
          </cell>
        </row>
        <row r="586">
          <cell r="J586" t="str">
            <v>759</v>
          </cell>
        </row>
        <row r="587">
          <cell r="J587" t="str">
            <v>759</v>
          </cell>
        </row>
        <row r="588">
          <cell r="J588" t="str">
            <v>759</v>
          </cell>
        </row>
        <row r="589">
          <cell r="J589" t="str">
            <v>770</v>
          </cell>
        </row>
        <row r="590">
          <cell r="J590" t="str">
            <v>771</v>
          </cell>
        </row>
        <row r="591">
          <cell r="J591" t="str">
            <v>772</v>
          </cell>
        </row>
        <row r="592">
          <cell r="J592" t="str">
            <v>773</v>
          </cell>
        </row>
        <row r="593">
          <cell r="J593" t="str">
            <v>774</v>
          </cell>
        </row>
        <row r="594">
          <cell r="J594" t="str">
            <v>776</v>
          </cell>
        </row>
        <row r="595">
          <cell r="J595" t="str">
            <v>777</v>
          </cell>
        </row>
        <row r="596">
          <cell r="J596" t="str">
            <v>778</v>
          </cell>
        </row>
        <row r="597">
          <cell r="J597" t="str">
            <v>779</v>
          </cell>
        </row>
        <row r="598">
          <cell r="J598" t="str">
            <v>779</v>
          </cell>
        </row>
        <row r="599">
          <cell r="J599" t="str">
            <v>779</v>
          </cell>
        </row>
        <row r="600">
          <cell r="J600" t="str">
            <v>779</v>
          </cell>
        </row>
        <row r="601">
          <cell r="J601" t="str">
            <v>780</v>
          </cell>
        </row>
        <row r="602">
          <cell r="J602" t="str">
            <v>787</v>
          </cell>
        </row>
        <row r="604">
          <cell r="J604" t="str">
            <v>790</v>
          </cell>
        </row>
        <row r="605">
          <cell r="J605" t="str">
            <v>791</v>
          </cell>
        </row>
        <row r="606">
          <cell r="J606" t="str">
            <v>791</v>
          </cell>
        </row>
        <row r="607">
          <cell r="J607" t="str">
            <v>791</v>
          </cell>
        </row>
        <row r="608">
          <cell r="J608" t="str">
            <v>791</v>
          </cell>
        </row>
        <row r="609">
          <cell r="J609" t="str">
            <v>791</v>
          </cell>
        </row>
        <row r="610">
          <cell r="J610" t="str">
            <v>797</v>
          </cell>
        </row>
        <row r="611">
          <cell r="J611" t="str">
            <v>797</v>
          </cell>
        </row>
        <row r="612">
          <cell r="J612" t="str">
            <v>797</v>
          </cell>
        </row>
        <row r="613">
          <cell r="J613" t="str">
            <v>798</v>
          </cell>
        </row>
        <row r="614">
          <cell r="G614">
            <v>0</v>
          </cell>
          <cell r="J614" t="str">
            <v>81</v>
          </cell>
        </row>
        <row r="615">
          <cell r="J615" t="str">
            <v>811</v>
          </cell>
        </row>
        <row r="616">
          <cell r="J616" t="str">
            <v>811</v>
          </cell>
        </row>
        <row r="617">
          <cell r="J617" t="str">
            <v>812</v>
          </cell>
        </row>
        <row r="618">
          <cell r="J618" t="str">
            <v>812</v>
          </cell>
        </row>
        <row r="619">
          <cell r="J619" t="str">
            <v>816</v>
          </cell>
        </row>
        <row r="620">
          <cell r="J620" t="str">
            <v>816</v>
          </cell>
        </row>
        <row r="621">
          <cell r="J621" t="str">
            <v>82</v>
          </cell>
        </row>
        <row r="622">
          <cell r="J622" t="str">
            <v>821</v>
          </cell>
        </row>
        <row r="623">
          <cell r="J623" t="str">
            <v>822</v>
          </cell>
        </row>
        <row r="624">
          <cell r="J624" t="str">
            <v>826</v>
          </cell>
        </row>
        <row r="625">
          <cell r="G625">
            <v>0</v>
          </cell>
          <cell r="J625" t="str">
            <v>83</v>
          </cell>
        </row>
        <row r="626">
          <cell r="J626" t="str">
            <v>831</v>
          </cell>
        </row>
        <row r="627">
          <cell r="J627" t="str">
            <v>834</v>
          </cell>
        </row>
        <row r="628">
          <cell r="J628" t="str">
            <v>835</v>
          </cell>
        </row>
        <row r="629">
          <cell r="J629" t="str">
            <v>836</v>
          </cell>
        </row>
        <row r="630">
          <cell r="J630" t="str">
            <v>839</v>
          </cell>
        </row>
        <row r="631">
          <cell r="J631" t="str">
            <v>839</v>
          </cell>
        </row>
        <row r="632">
          <cell r="J632" t="str">
            <v>839</v>
          </cell>
        </row>
        <row r="633">
          <cell r="J633" t="str">
            <v>839</v>
          </cell>
        </row>
        <row r="634">
          <cell r="J634" t="str">
            <v>84</v>
          </cell>
        </row>
        <row r="635">
          <cell r="J635" t="str">
            <v>841</v>
          </cell>
        </row>
        <row r="636">
          <cell r="J636" t="str">
            <v>845</v>
          </cell>
        </row>
        <row r="637">
          <cell r="J637" t="str">
            <v>846</v>
          </cell>
        </row>
        <row r="638">
          <cell r="J638" t="str">
            <v>848</v>
          </cell>
        </row>
        <row r="639">
          <cell r="J639" t="str">
            <v>849</v>
          </cell>
        </row>
        <row r="640">
          <cell r="J640" t="str">
            <v>849</v>
          </cell>
        </row>
        <row r="641">
          <cell r="J641" t="str">
            <v>849</v>
          </cell>
        </row>
        <row r="642">
          <cell r="J642" t="str">
            <v>849</v>
          </cell>
        </row>
        <row r="643">
          <cell r="G643">
            <v>0</v>
          </cell>
          <cell r="J643" t="str">
            <v>85</v>
          </cell>
        </row>
        <row r="644">
          <cell r="J644" t="str">
            <v>851</v>
          </cell>
        </row>
        <row r="645">
          <cell r="J645" t="str">
            <v>852</v>
          </cell>
        </row>
        <row r="646">
          <cell r="J646" t="str">
            <v>853</v>
          </cell>
        </row>
        <row r="647">
          <cell r="J647" t="str">
            <v>854</v>
          </cell>
        </row>
        <row r="648">
          <cell r="J648" t="str">
            <v>858</v>
          </cell>
        </row>
        <row r="649">
          <cell r="J649" t="str">
            <v>86</v>
          </cell>
        </row>
        <row r="650">
          <cell r="J650" t="str">
            <v>861</v>
          </cell>
        </row>
        <row r="651">
          <cell r="J651" t="str">
            <v>862</v>
          </cell>
        </row>
        <row r="652">
          <cell r="J652" t="str">
            <v>863</v>
          </cell>
        </row>
        <row r="653">
          <cell r="J653" t="str">
            <v>864</v>
          </cell>
        </row>
        <row r="654">
          <cell r="J654" t="str">
            <v>865</v>
          </cell>
        </row>
        <row r="655">
          <cell r="J655" t="str">
            <v>868</v>
          </cell>
        </row>
        <row r="656">
          <cell r="J656" t="str">
            <v>87</v>
          </cell>
        </row>
        <row r="657">
          <cell r="J657" t="str">
            <v>880</v>
          </cell>
        </row>
        <row r="658">
          <cell r="G658">
            <v>170378.01</v>
          </cell>
          <cell r="J658" t="str">
            <v>89</v>
          </cell>
        </row>
        <row r="659">
          <cell r="J659" t="str">
            <v>891</v>
          </cell>
        </row>
        <row r="660">
          <cell r="J660" t="str">
            <v>892</v>
          </cell>
        </row>
        <row r="661">
          <cell r="J661" t="str">
            <v>895</v>
          </cell>
        </row>
        <row r="662">
          <cell r="J662" t="str">
            <v>899</v>
          </cell>
        </row>
        <row r="663">
          <cell r="J663" t="str">
            <v>901</v>
          </cell>
        </row>
        <row r="664">
          <cell r="J664" t="str">
            <v>901</v>
          </cell>
        </row>
        <row r="665">
          <cell r="J665" t="str">
            <v>901</v>
          </cell>
        </row>
        <row r="666">
          <cell r="J666" t="str">
            <v>901</v>
          </cell>
        </row>
        <row r="667">
          <cell r="J667" t="str">
            <v>901</v>
          </cell>
        </row>
        <row r="668">
          <cell r="J668" t="str">
            <v>901</v>
          </cell>
        </row>
        <row r="669">
          <cell r="J669" t="str">
            <v>902</v>
          </cell>
        </row>
        <row r="670">
          <cell r="J670" t="str">
            <v>902</v>
          </cell>
        </row>
        <row r="671">
          <cell r="J671" t="str">
            <v>902</v>
          </cell>
        </row>
        <row r="672">
          <cell r="J672" t="str">
            <v>902</v>
          </cell>
        </row>
        <row r="673">
          <cell r="J673" t="str">
            <v>902</v>
          </cell>
        </row>
        <row r="674">
          <cell r="J674" t="str">
            <v>902</v>
          </cell>
        </row>
        <row r="675">
          <cell r="J675" t="str">
            <v>903</v>
          </cell>
        </row>
        <row r="676">
          <cell r="J676" t="str">
            <v>903</v>
          </cell>
        </row>
        <row r="677">
          <cell r="J677" t="str">
            <v>903</v>
          </cell>
        </row>
        <row r="678">
          <cell r="J678" t="str">
            <v>903</v>
          </cell>
        </row>
        <row r="679">
          <cell r="J679" t="str">
            <v>903</v>
          </cell>
        </row>
        <row r="680">
          <cell r="J680" t="str">
            <v>904</v>
          </cell>
        </row>
        <row r="681">
          <cell r="J681" t="str">
            <v>904</v>
          </cell>
        </row>
        <row r="682">
          <cell r="J682" t="str">
            <v>904</v>
          </cell>
        </row>
        <row r="683">
          <cell r="J683" t="str">
            <v>904</v>
          </cell>
        </row>
        <row r="684">
          <cell r="J684" t="str">
            <v>905</v>
          </cell>
        </row>
        <row r="685">
          <cell r="J685" t="str">
            <v>905</v>
          </cell>
        </row>
        <row r="686">
          <cell r="J686" t="str">
            <v>905</v>
          </cell>
        </row>
        <row r="687">
          <cell r="J687" t="str">
            <v>906</v>
          </cell>
        </row>
        <row r="688">
          <cell r="J688" t="str">
            <v>906</v>
          </cell>
        </row>
        <row r="689">
          <cell r="J689" t="str">
            <v>906</v>
          </cell>
        </row>
        <row r="690">
          <cell r="J690" t="str">
            <v>906</v>
          </cell>
        </row>
        <row r="691">
          <cell r="J691" t="str">
            <v>906</v>
          </cell>
        </row>
        <row r="692">
          <cell r="J692" t="str">
            <v>906</v>
          </cell>
        </row>
        <row r="693">
          <cell r="J693" t="str">
            <v>907</v>
          </cell>
        </row>
        <row r="694">
          <cell r="J694" t="str">
            <v>907</v>
          </cell>
        </row>
        <row r="695">
          <cell r="J695" t="str">
            <v>907</v>
          </cell>
        </row>
        <row r="696">
          <cell r="J696" t="str">
            <v>907</v>
          </cell>
        </row>
        <row r="697">
          <cell r="J697" t="str">
            <v>907</v>
          </cell>
        </row>
        <row r="698">
          <cell r="J698" t="str">
            <v>908</v>
          </cell>
        </row>
        <row r="699">
          <cell r="J699" t="str">
            <v>908</v>
          </cell>
        </row>
        <row r="700">
          <cell r="J700" t="str">
            <v>908</v>
          </cell>
        </row>
        <row r="701">
          <cell r="J701" t="str">
            <v>908</v>
          </cell>
        </row>
        <row r="702">
          <cell r="J702" t="str">
            <v>908</v>
          </cell>
        </row>
        <row r="703">
          <cell r="J703" t="str">
            <v>TOT</v>
          </cell>
        </row>
        <row r="704">
          <cell r="G704">
            <v>0</v>
          </cell>
          <cell r="J704" t="str">
            <v/>
          </cell>
        </row>
        <row r="705">
          <cell r="G705">
            <v>0</v>
          </cell>
          <cell r="J705" t="str">
            <v/>
          </cell>
        </row>
        <row r="706">
          <cell r="G706">
            <v>0</v>
          </cell>
          <cell r="J706" t="str">
            <v/>
          </cell>
        </row>
        <row r="707">
          <cell r="G707">
            <v>0</v>
          </cell>
          <cell r="J707" t="str">
            <v/>
          </cell>
        </row>
        <row r="708">
          <cell r="G708">
            <v>0</v>
          </cell>
          <cell r="J708" t="str">
            <v/>
          </cell>
        </row>
        <row r="709">
          <cell r="G709">
            <v>0</v>
          </cell>
          <cell r="J709" t="str">
            <v/>
          </cell>
        </row>
        <row r="710">
          <cell r="G710">
            <v>0</v>
          </cell>
          <cell r="J710" t="str">
            <v/>
          </cell>
        </row>
        <row r="711">
          <cell r="G711">
            <v>0</v>
          </cell>
          <cell r="J711" t="str">
            <v/>
          </cell>
        </row>
        <row r="712">
          <cell r="G712">
            <v>0</v>
          </cell>
          <cell r="J712" t="str">
            <v/>
          </cell>
        </row>
        <row r="713">
          <cell r="G713">
            <v>0</v>
          </cell>
          <cell r="J713" t="str">
            <v/>
          </cell>
        </row>
        <row r="714">
          <cell r="G714">
            <v>0</v>
          </cell>
          <cell r="J714" t="str">
            <v/>
          </cell>
        </row>
        <row r="715">
          <cell r="G715">
            <v>0</v>
          </cell>
          <cell r="J715" t="str">
            <v/>
          </cell>
        </row>
        <row r="716">
          <cell r="G716">
            <v>0</v>
          </cell>
          <cell r="J716" t="str">
            <v/>
          </cell>
        </row>
        <row r="717">
          <cell r="G717">
            <v>0</v>
          </cell>
          <cell r="J717" t="str">
            <v/>
          </cell>
        </row>
        <row r="718">
          <cell r="G718">
            <v>0</v>
          </cell>
          <cell r="J718" t="str">
            <v/>
          </cell>
        </row>
        <row r="719">
          <cell r="G719">
            <v>0</v>
          </cell>
          <cell r="J719" t="str">
            <v/>
          </cell>
        </row>
        <row r="720">
          <cell r="G720">
            <v>0</v>
          </cell>
          <cell r="J720" t="str">
            <v/>
          </cell>
        </row>
        <row r="721">
          <cell r="G721">
            <v>0</v>
          </cell>
          <cell r="J721" t="str">
            <v/>
          </cell>
        </row>
        <row r="722">
          <cell r="G722">
            <v>0</v>
          </cell>
          <cell r="J722" t="str">
            <v/>
          </cell>
        </row>
        <row r="723">
          <cell r="G723">
            <v>0</v>
          </cell>
          <cell r="J723" t="str">
            <v/>
          </cell>
        </row>
        <row r="724">
          <cell r="G724">
            <v>0</v>
          </cell>
          <cell r="J724" t="str">
            <v/>
          </cell>
        </row>
        <row r="725">
          <cell r="G725">
            <v>0</v>
          </cell>
          <cell r="J725" t="str">
            <v/>
          </cell>
        </row>
        <row r="726">
          <cell r="G726">
            <v>0</v>
          </cell>
          <cell r="J726" t="str">
            <v/>
          </cell>
        </row>
        <row r="727">
          <cell r="G727">
            <v>0</v>
          </cell>
          <cell r="J727" t="str">
            <v/>
          </cell>
        </row>
        <row r="728">
          <cell r="G728">
            <v>0</v>
          </cell>
          <cell r="J728" t="str">
            <v/>
          </cell>
        </row>
        <row r="729">
          <cell r="G729">
            <v>0</v>
          </cell>
          <cell r="J729" t="str">
            <v/>
          </cell>
        </row>
        <row r="730">
          <cell r="G730">
            <v>0</v>
          </cell>
          <cell r="J730" t="str">
            <v/>
          </cell>
        </row>
        <row r="731">
          <cell r="G731">
            <v>0</v>
          </cell>
          <cell r="J731" t="str">
            <v/>
          </cell>
        </row>
        <row r="732">
          <cell r="G732">
            <v>0</v>
          </cell>
          <cell r="J732" t="str">
            <v/>
          </cell>
        </row>
        <row r="733">
          <cell r="G733">
            <v>0</v>
          </cell>
          <cell r="J733" t="str">
            <v/>
          </cell>
        </row>
        <row r="734">
          <cell r="G734">
            <v>0</v>
          </cell>
          <cell r="J734" t="str">
            <v/>
          </cell>
        </row>
        <row r="735">
          <cell r="G735">
            <v>0</v>
          </cell>
          <cell r="J735" t="str">
            <v/>
          </cell>
        </row>
        <row r="736">
          <cell r="G736">
            <v>0</v>
          </cell>
          <cell r="J736" t="str">
            <v/>
          </cell>
        </row>
        <row r="737">
          <cell r="G737">
            <v>0</v>
          </cell>
          <cell r="J737" t="str">
            <v/>
          </cell>
        </row>
        <row r="738">
          <cell r="G738">
            <v>0</v>
          </cell>
          <cell r="J738" t="str">
            <v/>
          </cell>
        </row>
        <row r="739">
          <cell r="G739">
            <v>0</v>
          </cell>
          <cell r="J739" t="str">
            <v/>
          </cell>
        </row>
        <row r="740">
          <cell r="G740">
            <v>0</v>
          </cell>
          <cell r="J740" t="str">
            <v/>
          </cell>
        </row>
        <row r="741">
          <cell r="G741">
            <v>0</v>
          </cell>
          <cell r="J741" t="str">
            <v/>
          </cell>
        </row>
        <row r="742">
          <cell r="G742">
            <v>0</v>
          </cell>
          <cell r="J742" t="str">
            <v/>
          </cell>
        </row>
        <row r="743">
          <cell r="G743">
            <v>0</v>
          </cell>
          <cell r="J743" t="str">
            <v/>
          </cell>
        </row>
        <row r="744">
          <cell r="G744">
            <v>0</v>
          </cell>
          <cell r="J744" t="str">
            <v/>
          </cell>
        </row>
        <row r="745">
          <cell r="G745">
            <v>0</v>
          </cell>
          <cell r="J745" t="str">
            <v/>
          </cell>
        </row>
        <row r="746">
          <cell r="G746">
            <v>0</v>
          </cell>
          <cell r="J746" t="str">
            <v/>
          </cell>
        </row>
        <row r="747">
          <cell r="G747">
            <v>0</v>
          </cell>
          <cell r="J747" t="str">
            <v/>
          </cell>
        </row>
        <row r="748">
          <cell r="G748">
            <v>0</v>
          </cell>
          <cell r="J748" t="str">
            <v/>
          </cell>
        </row>
        <row r="749">
          <cell r="G749">
            <v>0</v>
          </cell>
          <cell r="J749" t="str">
            <v/>
          </cell>
        </row>
        <row r="750">
          <cell r="G750">
            <v>0</v>
          </cell>
          <cell r="J750" t="str">
            <v/>
          </cell>
        </row>
        <row r="751">
          <cell r="G751">
            <v>0</v>
          </cell>
          <cell r="J751" t="str">
            <v/>
          </cell>
        </row>
        <row r="752">
          <cell r="G752">
            <v>0</v>
          </cell>
          <cell r="J752" t="str">
            <v/>
          </cell>
        </row>
        <row r="753">
          <cell r="G753">
            <v>0</v>
          </cell>
          <cell r="J753" t="str">
            <v/>
          </cell>
        </row>
        <row r="754">
          <cell r="G754">
            <v>0</v>
          </cell>
          <cell r="J754" t="str">
            <v/>
          </cell>
        </row>
        <row r="755">
          <cell r="G755">
            <v>0</v>
          </cell>
          <cell r="J755" t="str">
            <v/>
          </cell>
        </row>
        <row r="756">
          <cell r="G756">
            <v>0</v>
          </cell>
          <cell r="J756" t="str">
            <v/>
          </cell>
        </row>
        <row r="757">
          <cell r="G757">
            <v>0</v>
          </cell>
          <cell r="J757" t="str">
            <v/>
          </cell>
        </row>
        <row r="758">
          <cell r="G758">
            <v>0</v>
          </cell>
          <cell r="J758" t="str">
            <v/>
          </cell>
        </row>
        <row r="759">
          <cell r="G759">
            <v>0</v>
          </cell>
          <cell r="J759" t="str">
            <v/>
          </cell>
        </row>
        <row r="760">
          <cell r="G760">
            <v>0</v>
          </cell>
          <cell r="J760" t="str">
            <v/>
          </cell>
        </row>
        <row r="761">
          <cell r="G761">
            <v>0</v>
          </cell>
          <cell r="J761" t="str">
            <v/>
          </cell>
        </row>
        <row r="762">
          <cell r="G762">
            <v>0</v>
          </cell>
          <cell r="J762" t="str">
            <v/>
          </cell>
        </row>
        <row r="763">
          <cell r="G763">
            <v>0</v>
          </cell>
          <cell r="J763" t="str">
            <v/>
          </cell>
        </row>
        <row r="764">
          <cell r="G764">
            <v>0</v>
          </cell>
          <cell r="J764" t="str">
            <v/>
          </cell>
        </row>
        <row r="765">
          <cell r="G765">
            <v>0</v>
          </cell>
          <cell r="J765" t="str">
            <v/>
          </cell>
        </row>
        <row r="766">
          <cell r="G766">
            <v>0</v>
          </cell>
          <cell r="J766" t="str">
            <v/>
          </cell>
        </row>
        <row r="767">
          <cell r="G767">
            <v>0</v>
          </cell>
          <cell r="J767" t="str">
            <v/>
          </cell>
        </row>
        <row r="768">
          <cell r="G768">
            <v>0</v>
          </cell>
          <cell r="J768" t="str">
            <v/>
          </cell>
        </row>
        <row r="769">
          <cell r="G769">
            <v>0</v>
          </cell>
          <cell r="J769" t="str">
            <v/>
          </cell>
        </row>
        <row r="770">
          <cell r="G770">
            <v>0</v>
          </cell>
          <cell r="J770" t="str">
            <v/>
          </cell>
        </row>
        <row r="771">
          <cell r="G771">
            <v>0</v>
          </cell>
          <cell r="J771" t="str">
            <v/>
          </cell>
        </row>
        <row r="772">
          <cell r="G772">
            <v>0</v>
          </cell>
          <cell r="J772" t="str">
            <v/>
          </cell>
        </row>
        <row r="773">
          <cell r="G773">
            <v>0</v>
          </cell>
          <cell r="J773" t="str">
            <v/>
          </cell>
        </row>
        <row r="774">
          <cell r="G774">
            <v>0</v>
          </cell>
          <cell r="J774" t="str">
            <v/>
          </cell>
        </row>
        <row r="775">
          <cell r="G775">
            <v>0</v>
          </cell>
          <cell r="J775" t="str">
            <v/>
          </cell>
        </row>
        <row r="776">
          <cell r="G776">
            <v>0</v>
          </cell>
          <cell r="J776" t="str">
            <v/>
          </cell>
        </row>
        <row r="777">
          <cell r="G777">
            <v>0</v>
          </cell>
          <cell r="J777" t="str">
            <v/>
          </cell>
        </row>
        <row r="778">
          <cell r="G778">
            <v>0</v>
          </cell>
          <cell r="J778" t="str">
            <v/>
          </cell>
        </row>
        <row r="779">
          <cell r="G779">
            <v>0</v>
          </cell>
          <cell r="J779" t="str">
            <v/>
          </cell>
        </row>
        <row r="780">
          <cell r="G780">
            <v>0</v>
          </cell>
          <cell r="J780" t="str">
            <v/>
          </cell>
        </row>
        <row r="781">
          <cell r="G781">
            <v>0</v>
          </cell>
          <cell r="J781" t="str">
            <v/>
          </cell>
        </row>
        <row r="782">
          <cell r="G782">
            <v>0</v>
          </cell>
          <cell r="J782" t="str">
            <v/>
          </cell>
        </row>
        <row r="783">
          <cell r="G783">
            <v>0</v>
          </cell>
          <cell r="J783" t="str">
            <v/>
          </cell>
        </row>
        <row r="784">
          <cell r="G784">
            <v>0</v>
          </cell>
          <cell r="J784" t="str">
            <v/>
          </cell>
        </row>
        <row r="785">
          <cell r="G785">
            <v>0</v>
          </cell>
          <cell r="J785" t="str">
            <v/>
          </cell>
        </row>
        <row r="786">
          <cell r="G786">
            <v>0</v>
          </cell>
          <cell r="J786" t="str">
            <v/>
          </cell>
        </row>
        <row r="787">
          <cell r="G787">
            <v>0</v>
          </cell>
          <cell r="J787" t="str">
            <v/>
          </cell>
        </row>
        <row r="788">
          <cell r="G788">
            <v>0</v>
          </cell>
          <cell r="J788" t="str">
            <v/>
          </cell>
        </row>
        <row r="789">
          <cell r="G789">
            <v>0</v>
          </cell>
          <cell r="J789" t="str">
            <v/>
          </cell>
        </row>
        <row r="790">
          <cell r="G790">
            <v>0</v>
          </cell>
          <cell r="J790" t="str">
            <v/>
          </cell>
        </row>
        <row r="791">
          <cell r="G791">
            <v>0</v>
          </cell>
          <cell r="J791" t="str">
            <v/>
          </cell>
        </row>
        <row r="792">
          <cell r="G792">
            <v>0</v>
          </cell>
          <cell r="J792" t="str">
            <v/>
          </cell>
        </row>
        <row r="793">
          <cell r="G793">
            <v>0</v>
          </cell>
          <cell r="J793" t="str">
            <v/>
          </cell>
        </row>
        <row r="794">
          <cell r="G794">
            <v>0</v>
          </cell>
          <cell r="J794" t="str">
            <v/>
          </cell>
        </row>
        <row r="795">
          <cell r="G795">
            <v>0</v>
          </cell>
          <cell r="J795" t="str">
            <v/>
          </cell>
        </row>
        <row r="796">
          <cell r="G796">
            <v>0</v>
          </cell>
          <cell r="J796" t="str">
            <v/>
          </cell>
        </row>
        <row r="797">
          <cell r="G797">
            <v>0</v>
          </cell>
          <cell r="J797" t="str">
            <v/>
          </cell>
        </row>
        <row r="798">
          <cell r="G798">
            <v>0</v>
          </cell>
          <cell r="J798" t="str">
            <v/>
          </cell>
        </row>
        <row r="799">
          <cell r="G799">
            <v>0</v>
          </cell>
          <cell r="J799" t="str">
            <v/>
          </cell>
        </row>
        <row r="800">
          <cell r="G800">
            <v>0</v>
          </cell>
          <cell r="J800" t="str">
            <v/>
          </cell>
        </row>
        <row r="801">
          <cell r="G801">
            <v>0</v>
          </cell>
          <cell r="J801" t="str">
            <v/>
          </cell>
        </row>
        <row r="802">
          <cell r="G802">
            <v>0</v>
          </cell>
          <cell r="J802" t="str">
            <v/>
          </cell>
        </row>
        <row r="803">
          <cell r="G803">
            <v>0</v>
          </cell>
          <cell r="J803" t="str">
            <v/>
          </cell>
        </row>
        <row r="804">
          <cell r="G804">
            <v>0</v>
          </cell>
          <cell r="J804" t="str">
            <v/>
          </cell>
        </row>
        <row r="805">
          <cell r="G805">
            <v>0</v>
          </cell>
          <cell r="J805" t="str">
            <v/>
          </cell>
        </row>
        <row r="806">
          <cell r="G806">
            <v>0</v>
          </cell>
          <cell r="J806" t="str">
            <v/>
          </cell>
        </row>
        <row r="807">
          <cell r="G807">
            <v>0</v>
          </cell>
          <cell r="J807" t="str">
            <v/>
          </cell>
        </row>
        <row r="808">
          <cell r="G808">
            <v>0</v>
          </cell>
          <cell r="J808" t="str">
            <v/>
          </cell>
        </row>
        <row r="809">
          <cell r="G809">
            <v>0</v>
          </cell>
          <cell r="J809" t="str">
            <v/>
          </cell>
        </row>
        <row r="810">
          <cell r="G810">
            <v>0</v>
          </cell>
          <cell r="J810" t="str">
            <v/>
          </cell>
        </row>
        <row r="811">
          <cell r="G811">
            <v>0</v>
          </cell>
          <cell r="J811" t="str">
            <v/>
          </cell>
        </row>
        <row r="812">
          <cell r="G812">
            <v>0</v>
          </cell>
          <cell r="J812" t="str">
            <v/>
          </cell>
        </row>
        <row r="813">
          <cell r="G813">
            <v>0</v>
          </cell>
          <cell r="J813" t="str">
            <v/>
          </cell>
        </row>
        <row r="814">
          <cell r="G814">
            <v>0</v>
          </cell>
          <cell r="J814" t="str">
            <v/>
          </cell>
        </row>
        <row r="815">
          <cell r="G815">
            <v>0</v>
          </cell>
          <cell r="J815" t="str">
            <v/>
          </cell>
        </row>
        <row r="816">
          <cell r="G816">
            <v>0</v>
          </cell>
          <cell r="J816" t="str">
            <v/>
          </cell>
        </row>
        <row r="817">
          <cell r="G817">
            <v>0</v>
          </cell>
          <cell r="J817" t="str">
            <v/>
          </cell>
        </row>
        <row r="818">
          <cell r="G818">
            <v>0</v>
          </cell>
          <cell r="J818" t="str">
            <v/>
          </cell>
        </row>
        <row r="819">
          <cell r="G819">
            <v>0</v>
          </cell>
          <cell r="J819" t="str">
            <v/>
          </cell>
        </row>
        <row r="820">
          <cell r="G820">
            <v>0</v>
          </cell>
          <cell r="J820" t="str">
            <v/>
          </cell>
        </row>
        <row r="821">
          <cell r="G821">
            <v>0</v>
          </cell>
          <cell r="J821" t="str">
            <v/>
          </cell>
        </row>
        <row r="822">
          <cell r="G822">
            <v>0</v>
          </cell>
          <cell r="J822" t="str">
            <v/>
          </cell>
        </row>
        <row r="823">
          <cell r="G823">
            <v>0</v>
          </cell>
          <cell r="J823" t="str">
            <v/>
          </cell>
        </row>
        <row r="824">
          <cell r="G824">
            <v>0</v>
          </cell>
          <cell r="J824" t="str">
            <v/>
          </cell>
        </row>
        <row r="825">
          <cell r="G825">
            <v>0</v>
          </cell>
          <cell r="J825" t="str">
            <v/>
          </cell>
        </row>
        <row r="826">
          <cell r="G826">
            <v>0</v>
          </cell>
          <cell r="J826" t="str">
            <v/>
          </cell>
        </row>
        <row r="827">
          <cell r="G827">
            <v>0</v>
          </cell>
          <cell r="J827" t="str">
            <v/>
          </cell>
        </row>
        <row r="828">
          <cell r="G828">
            <v>0</v>
          </cell>
          <cell r="J828" t="str">
            <v/>
          </cell>
        </row>
        <row r="829">
          <cell r="G829">
            <v>0</v>
          </cell>
          <cell r="J829" t="str">
            <v/>
          </cell>
        </row>
        <row r="830">
          <cell r="G830">
            <v>0</v>
          </cell>
          <cell r="J830" t="str">
            <v/>
          </cell>
        </row>
        <row r="831">
          <cell r="G831">
            <v>0</v>
          </cell>
          <cell r="J831" t="str">
            <v/>
          </cell>
        </row>
        <row r="832">
          <cell r="G832">
            <v>0</v>
          </cell>
          <cell r="J832" t="str">
            <v/>
          </cell>
        </row>
        <row r="833">
          <cell r="G833">
            <v>0</v>
          </cell>
          <cell r="J833" t="str">
            <v/>
          </cell>
        </row>
        <row r="834">
          <cell r="G834">
            <v>0</v>
          </cell>
          <cell r="J834" t="str">
            <v/>
          </cell>
        </row>
        <row r="835">
          <cell r="G835">
            <v>0</v>
          </cell>
          <cell r="J835" t="str">
            <v/>
          </cell>
        </row>
        <row r="836">
          <cell r="G836">
            <v>0</v>
          </cell>
          <cell r="J836" t="str">
            <v/>
          </cell>
        </row>
        <row r="837">
          <cell r="G837">
            <v>0</v>
          </cell>
          <cell r="J837" t="str">
            <v/>
          </cell>
        </row>
        <row r="838">
          <cell r="G838">
            <v>0</v>
          </cell>
          <cell r="J838" t="str">
            <v/>
          </cell>
        </row>
        <row r="839">
          <cell r="G839">
            <v>0</v>
          </cell>
          <cell r="J839" t="str">
            <v/>
          </cell>
        </row>
        <row r="840">
          <cell r="G840">
            <v>0</v>
          </cell>
          <cell r="J840" t="str">
            <v/>
          </cell>
        </row>
        <row r="841">
          <cell r="G841">
            <v>0</v>
          </cell>
          <cell r="J841" t="str">
            <v/>
          </cell>
        </row>
        <row r="842">
          <cell r="G842">
            <v>0</v>
          </cell>
          <cell r="J842" t="str">
            <v/>
          </cell>
        </row>
        <row r="843">
          <cell r="G843">
            <v>0</v>
          </cell>
          <cell r="J843" t="str">
            <v/>
          </cell>
        </row>
        <row r="844">
          <cell r="G844">
            <v>0</v>
          </cell>
          <cell r="J844" t="str">
            <v/>
          </cell>
        </row>
        <row r="845">
          <cell r="G845">
            <v>0</v>
          </cell>
          <cell r="J845" t="str">
            <v/>
          </cell>
        </row>
        <row r="846">
          <cell r="G846">
            <v>0</v>
          </cell>
          <cell r="J846" t="str">
            <v/>
          </cell>
        </row>
        <row r="847">
          <cell r="G847">
            <v>0</v>
          </cell>
          <cell r="J847" t="str">
            <v/>
          </cell>
        </row>
        <row r="848">
          <cell r="G848">
            <v>0</v>
          </cell>
          <cell r="J848" t="str">
            <v/>
          </cell>
        </row>
        <row r="849">
          <cell r="G849">
            <v>0</v>
          </cell>
          <cell r="J849" t="str">
            <v/>
          </cell>
        </row>
        <row r="850">
          <cell r="G850">
            <v>0</v>
          </cell>
          <cell r="J850" t="str">
            <v/>
          </cell>
        </row>
        <row r="851">
          <cell r="G851">
            <v>0</v>
          </cell>
          <cell r="J851" t="str">
            <v/>
          </cell>
        </row>
        <row r="852">
          <cell r="G852">
            <v>0</v>
          </cell>
          <cell r="J852" t="str">
            <v/>
          </cell>
        </row>
        <row r="853">
          <cell r="G853">
            <v>0</v>
          </cell>
          <cell r="J853" t="str">
            <v/>
          </cell>
        </row>
        <row r="854">
          <cell r="G854">
            <v>0</v>
          </cell>
          <cell r="J854" t="str">
            <v/>
          </cell>
        </row>
        <row r="855">
          <cell r="G855">
            <v>0</v>
          </cell>
          <cell r="J855" t="str">
            <v/>
          </cell>
        </row>
        <row r="856">
          <cell r="G856">
            <v>0</v>
          </cell>
          <cell r="J856" t="str">
            <v/>
          </cell>
        </row>
        <row r="857">
          <cell r="G857">
            <v>0</v>
          </cell>
          <cell r="J857" t="str">
            <v/>
          </cell>
        </row>
        <row r="858">
          <cell r="G858">
            <v>0</v>
          </cell>
          <cell r="J858" t="str">
            <v/>
          </cell>
        </row>
        <row r="859">
          <cell r="G859">
            <v>0</v>
          </cell>
          <cell r="J859" t="str">
            <v/>
          </cell>
        </row>
        <row r="860">
          <cell r="G860">
            <v>0</v>
          </cell>
          <cell r="J860" t="str">
            <v/>
          </cell>
        </row>
        <row r="861">
          <cell r="G861">
            <v>0</v>
          </cell>
          <cell r="J861" t="str">
            <v/>
          </cell>
        </row>
        <row r="862">
          <cell r="G862">
            <v>0</v>
          </cell>
          <cell r="J862" t="str">
            <v/>
          </cell>
        </row>
        <row r="863">
          <cell r="G863">
            <v>0</v>
          </cell>
          <cell r="J863" t="str">
            <v/>
          </cell>
        </row>
        <row r="864">
          <cell r="G864">
            <v>0</v>
          </cell>
          <cell r="J864" t="str">
            <v/>
          </cell>
        </row>
        <row r="865">
          <cell r="G865">
            <v>0</v>
          </cell>
          <cell r="J865" t="str">
            <v/>
          </cell>
        </row>
        <row r="866">
          <cell r="G866">
            <v>0</v>
          </cell>
          <cell r="J866" t="str">
            <v/>
          </cell>
        </row>
        <row r="867">
          <cell r="G867">
            <v>0</v>
          </cell>
          <cell r="J867" t="str">
            <v/>
          </cell>
        </row>
        <row r="868">
          <cell r="G868">
            <v>0</v>
          </cell>
          <cell r="J868" t="str">
            <v/>
          </cell>
        </row>
        <row r="869">
          <cell r="G869">
            <v>0</v>
          </cell>
          <cell r="J869" t="str">
            <v/>
          </cell>
        </row>
        <row r="870">
          <cell r="G870">
            <v>0</v>
          </cell>
          <cell r="J870" t="str">
            <v/>
          </cell>
        </row>
        <row r="871">
          <cell r="G871">
            <v>0</v>
          </cell>
          <cell r="J871" t="str">
            <v/>
          </cell>
        </row>
        <row r="872">
          <cell r="G872">
            <v>0</v>
          </cell>
          <cell r="J872" t="str">
            <v/>
          </cell>
        </row>
        <row r="873">
          <cell r="G873">
            <v>0</v>
          </cell>
          <cell r="J873" t="str">
            <v/>
          </cell>
        </row>
        <row r="874">
          <cell r="G874">
            <v>0</v>
          </cell>
          <cell r="J874" t="str">
            <v/>
          </cell>
        </row>
        <row r="875">
          <cell r="G875">
            <v>0</v>
          </cell>
          <cell r="J875" t="str">
            <v/>
          </cell>
        </row>
        <row r="876">
          <cell r="G876">
            <v>0</v>
          </cell>
          <cell r="J876" t="str">
            <v/>
          </cell>
        </row>
        <row r="877">
          <cell r="G877">
            <v>0</v>
          </cell>
          <cell r="J877" t="str">
            <v/>
          </cell>
        </row>
        <row r="878">
          <cell r="G878">
            <v>0</v>
          </cell>
          <cell r="J878" t="str">
            <v/>
          </cell>
        </row>
        <row r="879">
          <cell r="G879">
            <v>0</v>
          </cell>
          <cell r="J879" t="str">
            <v/>
          </cell>
        </row>
        <row r="880">
          <cell r="G880">
            <v>0</v>
          </cell>
          <cell r="J880" t="str">
            <v/>
          </cell>
        </row>
        <row r="881">
          <cell r="G881">
            <v>0</v>
          </cell>
          <cell r="J881" t="str">
            <v/>
          </cell>
        </row>
        <row r="882">
          <cell r="G882">
            <v>0</v>
          </cell>
          <cell r="J882" t="str">
            <v/>
          </cell>
        </row>
        <row r="883">
          <cell r="G883">
            <v>0</v>
          </cell>
          <cell r="J883" t="str">
            <v/>
          </cell>
        </row>
        <row r="884">
          <cell r="G884">
            <v>0</v>
          </cell>
          <cell r="J884" t="str">
            <v/>
          </cell>
        </row>
        <row r="885">
          <cell r="G885">
            <v>0</v>
          </cell>
          <cell r="J885" t="str">
            <v/>
          </cell>
        </row>
        <row r="886">
          <cell r="G886">
            <v>0</v>
          </cell>
          <cell r="J886" t="str">
            <v/>
          </cell>
        </row>
        <row r="887">
          <cell r="G887">
            <v>0</v>
          </cell>
          <cell r="J887" t="str">
            <v/>
          </cell>
        </row>
        <row r="888">
          <cell r="G888">
            <v>0</v>
          </cell>
          <cell r="J888" t="str">
            <v/>
          </cell>
        </row>
        <row r="889">
          <cell r="G889">
            <v>0</v>
          </cell>
          <cell r="J889" t="str">
            <v/>
          </cell>
        </row>
        <row r="890">
          <cell r="G890">
            <v>0</v>
          </cell>
          <cell r="J890" t="str">
            <v/>
          </cell>
        </row>
        <row r="891">
          <cell r="G891">
            <v>0</v>
          </cell>
          <cell r="J891" t="str">
            <v/>
          </cell>
        </row>
        <row r="892">
          <cell r="G892">
            <v>0</v>
          </cell>
          <cell r="J892" t="str">
            <v/>
          </cell>
        </row>
        <row r="893">
          <cell r="G893">
            <v>0</v>
          </cell>
          <cell r="J893" t="str">
            <v/>
          </cell>
        </row>
        <row r="894">
          <cell r="G894">
            <v>0</v>
          </cell>
          <cell r="J894" t="str">
            <v/>
          </cell>
        </row>
        <row r="895">
          <cell r="G895">
            <v>0</v>
          </cell>
          <cell r="J895" t="str">
            <v/>
          </cell>
        </row>
        <row r="896">
          <cell r="G896">
            <v>0</v>
          </cell>
          <cell r="J896" t="str">
            <v/>
          </cell>
        </row>
        <row r="897">
          <cell r="G897">
            <v>0</v>
          </cell>
          <cell r="J897" t="str">
            <v/>
          </cell>
        </row>
        <row r="898">
          <cell r="G898">
            <v>0</v>
          </cell>
          <cell r="J898" t="str">
            <v/>
          </cell>
        </row>
        <row r="899">
          <cell r="G899">
            <v>0</v>
          </cell>
          <cell r="J899" t="str">
            <v/>
          </cell>
        </row>
        <row r="900">
          <cell r="G900">
            <v>0</v>
          </cell>
          <cell r="J900" t="str">
            <v/>
          </cell>
        </row>
        <row r="901">
          <cell r="G901">
            <v>0</v>
          </cell>
          <cell r="J901" t="str">
            <v/>
          </cell>
        </row>
        <row r="902">
          <cell r="G902">
            <v>0</v>
          </cell>
          <cell r="J902" t="str">
            <v/>
          </cell>
        </row>
        <row r="903">
          <cell r="G903">
            <v>0</v>
          </cell>
          <cell r="J903" t="str">
            <v/>
          </cell>
        </row>
        <row r="904">
          <cell r="G904">
            <v>0</v>
          </cell>
          <cell r="J904" t="str">
            <v/>
          </cell>
        </row>
        <row r="905">
          <cell r="G905">
            <v>0</v>
          </cell>
          <cell r="J905" t="str">
            <v/>
          </cell>
        </row>
        <row r="906">
          <cell r="G906">
            <v>0</v>
          </cell>
          <cell r="J906" t="str">
            <v/>
          </cell>
        </row>
        <row r="907">
          <cell r="G907">
            <v>0</v>
          </cell>
          <cell r="J907" t="str">
            <v/>
          </cell>
        </row>
        <row r="908">
          <cell r="G908">
            <v>0</v>
          </cell>
          <cell r="J908" t="str">
            <v/>
          </cell>
        </row>
        <row r="909">
          <cell r="G909">
            <v>0</v>
          </cell>
          <cell r="J909" t="str">
            <v/>
          </cell>
        </row>
        <row r="910">
          <cell r="G910">
            <v>0</v>
          </cell>
          <cell r="J910" t="str">
            <v/>
          </cell>
        </row>
        <row r="911">
          <cell r="G911">
            <v>0</v>
          </cell>
          <cell r="J911" t="str">
            <v/>
          </cell>
        </row>
        <row r="912">
          <cell r="G912">
            <v>0</v>
          </cell>
          <cell r="J912" t="str">
            <v/>
          </cell>
        </row>
        <row r="913">
          <cell r="G913">
            <v>0</v>
          </cell>
          <cell r="J913" t="str">
            <v/>
          </cell>
        </row>
        <row r="914">
          <cell r="G914">
            <v>0</v>
          </cell>
          <cell r="J914" t="str">
            <v/>
          </cell>
        </row>
        <row r="915">
          <cell r="G915">
            <v>0</v>
          </cell>
          <cell r="J915" t="str">
            <v/>
          </cell>
        </row>
        <row r="916">
          <cell r="G916">
            <v>0</v>
          </cell>
          <cell r="J916" t="str">
            <v/>
          </cell>
        </row>
        <row r="917">
          <cell r="G917">
            <v>0</v>
          </cell>
          <cell r="J917" t="str">
            <v/>
          </cell>
        </row>
        <row r="918">
          <cell r="G918">
            <v>0</v>
          </cell>
          <cell r="J918" t="str">
            <v/>
          </cell>
        </row>
        <row r="919">
          <cell r="G919">
            <v>0</v>
          </cell>
          <cell r="J919" t="str">
            <v/>
          </cell>
        </row>
        <row r="920">
          <cell r="G920">
            <v>0</v>
          </cell>
          <cell r="J920" t="str">
            <v/>
          </cell>
        </row>
        <row r="921">
          <cell r="G921">
            <v>0</v>
          </cell>
          <cell r="J921" t="str">
            <v/>
          </cell>
        </row>
        <row r="922">
          <cell r="G922">
            <v>0</v>
          </cell>
          <cell r="J922" t="str">
            <v/>
          </cell>
        </row>
        <row r="923">
          <cell r="G923">
            <v>0</v>
          </cell>
          <cell r="J923" t="str">
            <v/>
          </cell>
        </row>
        <row r="924">
          <cell r="G924">
            <v>0</v>
          </cell>
          <cell r="J924" t="str">
            <v/>
          </cell>
        </row>
        <row r="925">
          <cell r="G925">
            <v>0</v>
          </cell>
          <cell r="J925" t="str">
            <v/>
          </cell>
        </row>
        <row r="926">
          <cell r="G926">
            <v>0</v>
          </cell>
          <cell r="J926" t="str">
            <v/>
          </cell>
        </row>
        <row r="927">
          <cell r="G927">
            <v>0</v>
          </cell>
          <cell r="J927" t="str">
            <v/>
          </cell>
        </row>
        <row r="928">
          <cell r="G928">
            <v>0</v>
          </cell>
          <cell r="J928" t="str">
            <v/>
          </cell>
        </row>
        <row r="929">
          <cell r="G929">
            <v>0</v>
          </cell>
          <cell r="J929" t="str">
            <v/>
          </cell>
        </row>
        <row r="930">
          <cell r="G930">
            <v>0</v>
          </cell>
          <cell r="J930" t="str">
            <v/>
          </cell>
        </row>
        <row r="931">
          <cell r="G931">
            <v>0</v>
          </cell>
          <cell r="J931" t="str">
            <v/>
          </cell>
        </row>
        <row r="932">
          <cell r="G932">
            <v>0</v>
          </cell>
          <cell r="J932" t="str">
            <v/>
          </cell>
        </row>
        <row r="933">
          <cell r="G933">
            <v>0</v>
          </cell>
          <cell r="J933" t="str">
            <v/>
          </cell>
        </row>
        <row r="934">
          <cell r="G934">
            <v>0</v>
          </cell>
          <cell r="J934" t="str">
            <v/>
          </cell>
        </row>
        <row r="935">
          <cell r="G935">
            <v>0</v>
          </cell>
          <cell r="J935" t="str">
            <v/>
          </cell>
        </row>
        <row r="936">
          <cell r="G936">
            <v>0</v>
          </cell>
          <cell r="J936" t="str">
            <v/>
          </cell>
        </row>
        <row r="937">
          <cell r="G937">
            <v>0</v>
          </cell>
          <cell r="J937" t="str">
            <v/>
          </cell>
        </row>
        <row r="938">
          <cell r="G938">
            <v>0</v>
          </cell>
          <cell r="J938" t="str">
            <v/>
          </cell>
        </row>
        <row r="939">
          <cell r="G939">
            <v>0</v>
          </cell>
          <cell r="J939" t="str">
            <v/>
          </cell>
        </row>
        <row r="940">
          <cell r="G940">
            <v>0</v>
          </cell>
          <cell r="J940" t="str">
            <v/>
          </cell>
        </row>
        <row r="941">
          <cell r="G941">
            <v>0</v>
          </cell>
          <cell r="J941" t="str">
            <v/>
          </cell>
        </row>
        <row r="942">
          <cell r="G942">
            <v>0</v>
          </cell>
          <cell r="J942" t="str">
            <v/>
          </cell>
        </row>
        <row r="943">
          <cell r="G943">
            <v>0</v>
          </cell>
          <cell r="J943" t="str">
            <v/>
          </cell>
        </row>
        <row r="944">
          <cell r="G944">
            <v>0</v>
          </cell>
          <cell r="J944" t="str">
            <v/>
          </cell>
        </row>
        <row r="945">
          <cell r="G945">
            <v>0</v>
          </cell>
          <cell r="J945" t="str">
            <v/>
          </cell>
        </row>
        <row r="946">
          <cell r="G946">
            <v>0</v>
          </cell>
          <cell r="J946" t="str">
            <v/>
          </cell>
        </row>
        <row r="947">
          <cell r="G947">
            <v>0</v>
          </cell>
          <cell r="J947" t="str">
            <v/>
          </cell>
        </row>
        <row r="948">
          <cell r="G948">
            <v>0</v>
          </cell>
          <cell r="J948" t="str">
            <v/>
          </cell>
        </row>
        <row r="949">
          <cell r="G949">
            <v>0</v>
          </cell>
          <cell r="J949" t="str">
            <v/>
          </cell>
        </row>
        <row r="950">
          <cell r="G950">
            <v>0</v>
          </cell>
          <cell r="J950" t="str">
            <v/>
          </cell>
        </row>
        <row r="951">
          <cell r="G951">
            <v>0</v>
          </cell>
          <cell r="J951" t="str">
            <v/>
          </cell>
        </row>
        <row r="952">
          <cell r="G952">
            <v>0</v>
          </cell>
          <cell r="J952" t="str">
            <v/>
          </cell>
        </row>
        <row r="953">
          <cell r="G953">
            <v>0</v>
          </cell>
          <cell r="J953" t="str">
            <v/>
          </cell>
        </row>
        <row r="954">
          <cell r="G954">
            <v>0</v>
          </cell>
          <cell r="J954" t="str">
            <v/>
          </cell>
        </row>
        <row r="955">
          <cell r="G955">
            <v>0</v>
          </cell>
          <cell r="J955" t="str">
            <v/>
          </cell>
        </row>
        <row r="956">
          <cell r="G956">
            <v>0</v>
          </cell>
          <cell r="J956" t="str">
            <v/>
          </cell>
        </row>
        <row r="957">
          <cell r="G957">
            <v>0</v>
          </cell>
          <cell r="J957" t="str">
            <v/>
          </cell>
        </row>
        <row r="958">
          <cell r="G958">
            <v>0</v>
          </cell>
          <cell r="J958" t="str">
            <v/>
          </cell>
        </row>
        <row r="959">
          <cell r="G959">
            <v>0</v>
          </cell>
          <cell r="J959" t="str">
            <v/>
          </cell>
        </row>
        <row r="960">
          <cell r="G960">
            <v>0</v>
          </cell>
          <cell r="J960" t="str">
            <v/>
          </cell>
        </row>
        <row r="961">
          <cell r="G961">
            <v>0</v>
          </cell>
          <cell r="J961" t="str">
            <v/>
          </cell>
        </row>
        <row r="962">
          <cell r="G962">
            <v>0</v>
          </cell>
          <cell r="J962" t="str">
            <v/>
          </cell>
        </row>
        <row r="963">
          <cell r="G963">
            <v>0</v>
          </cell>
          <cell r="J963" t="str">
            <v/>
          </cell>
        </row>
        <row r="964">
          <cell r="G964">
            <v>0</v>
          </cell>
          <cell r="J964" t="str">
            <v/>
          </cell>
        </row>
        <row r="965">
          <cell r="G965">
            <v>0</v>
          </cell>
          <cell r="J965" t="str">
            <v/>
          </cell>
        </row>
        <row r="966">
          <cell r="G966">
            <v>0</v>
          </cell>
          <cell r="J966" t="str">
            <v/>
          </cell>
        </row>
        <row r="967">
          <cell r="G967">
            <v>0</v>
          </cell>
          <cell r="J967" t="str">
            <v/>
          </cell>
        </row>
        <row r="968">
          <cell r="G968">
            <v>0</v>
          </cell>
          <cell r="J968" t="str">
            <v/>
          </cell>
        </row>
        <row r="969">
          <cell r="G969">
            <v>0</v>
          </cell>
          <cell r="J969" t="str">
            <v/>
          </cell>
        </row>
        <row r="970">
          <cell r="G970">
            <v>0</v>
          </cell>
          <cell r="J970" t="str">
            <v/>
          </cell>
        </row>
        <row r="971">
          <cell r="G971">
            <v>0</v>
          </cell>
          <cell r="J971" t="str">
            <v/>
          </cell>
        </row>
        <row r="972">
          <cell r="G972">
            <v>0</v>
          </cell>
          <cell r="J972" t="str">
            <v/>
          </cell>
        </row>
        <row r="973">
          <cell r="G973">
            <v>0</v>
          </cell>
          <cell r="J973" t="str">
            <v/>
          </cell>
        </row>
        <row r="974">
          <cell r="G974">
            <v>0</v>
          </cell>
          <cell r="J974" t="str">
            <v/>
          </cell>
        </row>
        <row r="975">
          <cell r="G975">
            <v>0</v>
          </cell>
          <cell r="J975" t="str">
            <v/>
          </cell>
        </row>
        <row r="976">
          <cell r="G976">
            <v>0</v>
          </cell>
          <cell r="J976" t="str">
            <v/>
          </cell>
        </row>
        <row r="977">
          <cell r="G977">
            <v>0</v>
          </cell>
          <cell r="J977" t="str">
            <v/>
          </cell>
        </row>
        <row r="978">
          <cell r="G978">
            <v>0</v>
          </cell>
          <cell r="J978" t="str">
            <v/>
          </cell>
        </row>
        <row r="979">
          <cell r="G979">
            <v>0</v>
          </cell>
          <cell r="J979" t="str">
            <v/>
          </cell>
        </row>
        <row r="980">
          <cell r="G980">
            <v>0</v>
          </cell>
          <cell r="J980" t="str">
            <v/>
          </cell>
        </row>
        <row r="981">
          <cell r="G981">
            <v>0</v>
          </cell>
          <cell r="J981" t="str">
            <v/>
          </cell>
        </row>
        <row r="982">
          <cell r="G982">
            <v>0</v>
          </cell>
          <cell r="J982" t="str">
            <v/>
          </cell>
        </row>
        <row r="983">
          <cell r="G983">
            <v>0</v>
          </cell>
          <cell r="J983" t="str">
            <v/>
          </cell>
        </row>
        <row r="984">
          <cell r="G984">
            <v>0</v>
          </cell>
          <cell r="J984" t="str">
            <v/>
          </cell>
        </row>
        <row r="985">
          <cell r="G985">
            <v>0</v>
          </cell>
          <cell r="J985" t="str">
            <v/>
          </cell>
        </row>
        <row r="986">
          <cell r="G986">
            <v>0</v>
          </cell>
          <cell r="J986" t="str">
            <v/>
          </cell>
        </row>
        <row r="987">
          <cell r="G987">
            <v>0</v>
          </cell>
          <cell r="J987" t="str">
            <v/>
          </cell>
        </row>
        <row r="988">
          <cell r="G988">
            <v>0</v>
          </cell>
          <cell r="J988" t="str">
            <v/>
          </cell>
        </row>
        <row r="989">
          <cell r="G989">
            <v>0</v>
          </cell>
          <cell r="J989" t="str">
            <v/>
          </cell>
        </row>
        <row r="990">
          <cell r="G990">
            <v>0</v>
          </cell>
          <cell r="J990" t="str">
            <v/>
          </cell>
        </row>
        <row r="991">
          <cell r="G991">
            <v>0</v>
          </cell>
          <cell r="J991" t="str">
            <v/>
          </cell>
        </row>
        <row r="992">
          <cell r="G992">
            <v>0</v>
          </cell>
          <cell r="J992" t="str">
            <v/>
          </cell>
        </row>
        <row r="993">
          <cell r="G993">
            <v>0</v>
          </cell>
          <cell r="J993" t="str">
            <v/>
          </cell>
        </row>
        <row r="994">
          <cell r="G994">
            <v>0</v>
          </cell>
          <cell r="J994" t="str">
            <v/>
          </cell>
        </row>
        <row r="995">
          <cell r="G995">
            <v>0</v>
          </cell>
          <cell r="J995" t="str">
            <v/>
          </cell>
        </row>
        <row r="996">
          <cell r="G996">
            <v>0</v>
          </cell>
          <cell r="J996" t="str">
            <v/>
          </cell>
        </row>
        <row r="997">
          <cell r="G997">
            <v>0</v>
          </cell>
          <cell r="J997" t="str">
            <v/>
          </cell>
        </row>
        <row r="998">
          <cell r="G998">
            <v>0</v>
          </cell>
          <cell r="J998" t="str">
            <v/>
          </cell>
        </row>
        <row r="999">
          <cell r="G999">
            <v>0</v>
          </cell>
          <cell r="J999" t="str">
            <v/>
          </cell>
        </row>
        <row r="1000">
          <cell r="G1000">
            <v>0</v>
          </cell>
          <cell r="J1000" t="str">
            <v/>
          </cell>
        </row>
        <row r="1001">
          <cell r="G1001">
            <v>0</v>
          </cell>
          <cell r="J1001" t="str">
            <v/>
          </cell>
        </row>
        <row r="1002">
          <cell r="G1002">
            <v>0</v>
          </cell>
        </row>
        <row r="1003">
          <cell r="G1003">
            <v>0</v>
          </cell>
        </row>
        <row r="1004">
          <cell r="G1004">
            <v>0</v>
          </cell>
        </row>
        <row r="1005">
          <cell r="G1005">
            <v>0</v>
          </cell>
        </row>
        <row r="1006">
          <cell r="G1006">
            <v>0</v>
          </cell>
        </row>
        <row r="1007">
          <cell r="G1007">
            <v>0</v>
          </cell>
        </row>
      </sheetData>
      <sheetData sheetId="4"/>
      <sheetData sheetId="5"/>
      <sheetData sheetId="6"/>
      <sheetData sheetId="7"/>
      <sheetData sheetId="8">
        <row r="20">
          <cell r="N20">
            <v>0</v>
          </cell>
        </row>
        <row r="29">
          <cell r="L29">
            <v>0</v>
          </cell>
          <cell r="N29">
            <v>0</v>
          </cell>
        </row>
        <row r="30">
          <cell r="L30">
            <v>0</v>
          </cell>
          <cell r="N30">
            <v>0</v>
          </cell>
        </row>
        <row r="38">
          <cell r="L38">
            <v>0</v>
          </cell>
          <cell r="N38">
            <v>0</v>
          </cell>
        </row>
        <row r="42">
          <cell r="N42">
            <v>0</v>
          </cell>
        </row>
        <row r="43">
          <cell r="L43">
            <v>170378.01</v>
          </cell>
        </row>
      </sheetData>
      <sheetData sheetId="9">
        <row r="14">
          <cell r="M14">
            <v>0</v>
          </cell>
          <cell r="O14">
            <v>0</v>
          </cell>
        </row>
        <row r="22">
          <cell r="I22">
            <v>480957</v>
          </cell>
        </row>
        <row r="24">
          <cell r="O24">
            <v>0</v>
          </cell>
        </row>
        <row r="28">
          <cell r="M28">
            <v>0</v>
          </cell>
          <cell r="O28">
            <v>0</v>
          </cell>
        </row>
        <row r="29">
          <cell r="M29">
            <v>0</v>
          </cell>
          <cell r="O29">
            <v>0</v>
          </cell>
        </row>
        <row r="31">
          <cell r="M31">
            <v>0</v>
          </cell>
          <cell r="O31">
            <v>0</v>
          </cell>
        </row>
        <row r="36">
          <cell r="I36">
            <v>158715.81</v>
          </cell>
        </row>
        <row r="39">
          <cell r="M39">
            <v>0</v>
          </cell>
          <cell r="O39">
            <v>0</v>
          </cell>
        </row>
        <row r="41">
          <cell r="M41">
            <v>0</v>
          </cell>
          <cell r="O41">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16">
          <cell r="K16">
            <v>0</v>
          </cell>
        </row>
      </sheetData>
      <sheetData sheetId="42"/>
      <sheetData sheetId="43"/>
      <sheetData sheetId="44"/>
      <sheetData sheetId="45"/>
      <sheetData sheetId="46"/>
      <sheetData sheetId="47"/>
      <sheetData sheetId="48"/>
      <sheetData sheetId="49">
        <row r="2">
          <cell r="C2" t="str">
            <v>MONTANT</v>
          </cell>
        </row>
      </sheetData>
      <sheetData sheetId="50"/>
      <sheetData sheetId="51"/>
      <sheetData sheetId="52"/>
    </sheetDataSet>
  </externalBook>
</externalLink>
</file>

<file path=xl/tables/table1.xml><?xml version="1.0" encoding="utf-8"?>
<table xmlns="http://schemas.openxmlformats.org/spreadsheetml/2006/main" id="1" name="Table1" displayName="Table1" ref="M25:P28" totalsRowShown="0" headerRowDxfId="5" dataDxfId="4">
  <autoFilter ref="M25:P28"/>
  <tableColumns count="4">
    <tableColumn id="1" name="Critère Activité - Secteur 1" dataDxfId="3"/>
    <tableColumn id="2" name="Période 1" dataDxfId="2"/>
    <tableColumn id="3" name="Période 2" dataDxfId="1"/>
    <tableColumn id="4" name="Période 3"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49"/>
  <sheetViews>
    <sheetView showGridLines="0" topLeftCell="F1" workbookViewId="0">
      <selection activeCell="V8" sqref="V8"/>
    </sheetView>
  </sheetViews>
  <sheetFormatPr baseColWidth="10" defaultColWidth="2.28515625" defaultRowHeight="10.5" x14ac:dyDescent="0.15"/>
  <cols>
    <col min="1" max="1" width="4.140625" style="296" bestFit="1" customWidth="1"/>
    <col min="2" max="2" width="1.7109375" style="296" customWidth="1"/>
    <col min="3" max="3" width="38" style="296" bestFit="1" customWidth="1"/>
    <col min="4" max="4" width="1.7109375" style="296" customWidth="1"/>
    <col min="5" max="5" width="4.7109375" style="296" bestFit="1" customWidth="1"/>
    <col min="6" max="6" width="1.7109375" style="296" customWidth="1"/>
    <col min="7" max="7" width="13.7109375" style="296" customWidth="1"/>
    <col min="8" max="8" width="1.7109375" style="296" customWidth="1"/>
    <col min="9" max="9" width="13.7109375" style="296" customWidth="1"/>
    <col min="10" max="10" width="1.7109375" style="296" customWidth="1"/>
    <col min="11" max="11" width="13.7109375" style="296" customWidth="1"/>
    <col min="12" max="12" width="1.7109375" style="296" customWidth="1"/>
    <col min="13" max="13" width="13.7109375" style="296" customWidth="1"/>
    <col min="14" max="14" width="3.5703125" style="296" bestFit="1" customWidth="1"/>
    <col min="15" max="15" width="1.7109375" style="296" customWidth="1"/>
    <col min="16" max="16" width="51" style="296" bestFit="1" customWidth="1"/>
    <col min="17" max="17" width="1.7109375" style="296" customWidth="1"/>
    <col min="18" max="18" width="4.7109375" style="296" bestFit="1" customWidth="1"/>
    <col min="19" max="19" width="1.7109375" style="296" customWidth="1"/>
    <col min="20" max="20" width="13.7109375" style="296" customWidth="1"/>
    <col min="21" max="21" width="1.7109375" style="296" customWidth="1"/>
    <col min="22" max="22" width="13.7109375" style="296" customWidth="1"/>
    <col min="23" max="256" width="2.28515625" style="296"/>
    <col min="257" max="257" width="4.140625" style="296" bestFit="1" customWidth="1"/>
    <col min="258" max="258" width="1.7109375" style="296" customWidth="1"/>
    <col min="259" max="259" width="38" style="296" bestFit="1" customWidth="1"/>
    <col min="260" max="260" width="1.7109375" style="296" customWidth="1"/>
    <col min="261" max="261" width="4.7109375" style="296" bestFit="1" customWidth="1"/>
    <col min="262" max="262" width="1.7109375" style="296" customWidth="1"/>
    <col min="263" max="263" width="13.7109375" style="296" customWidth="1"/>
    <col min="264" max="264" width="1.7109375" style="296" customWidth="1"/>
    <col min="265" max="265" width="13.7109375" style="296" customWidth="1"/>
    <col min="266" max="266" width="1.7109375" style="296" customWidth="1"/>
    <col min="267" max="267" width="13.7109375" style="296" customWidth="1"/>
    <col min="268" max="268" width="1.7109375" style="296" customWidth="1"/>
    <col min="269" max="269" width="13.7109375" style="296" customWidth="1"/>
    <col min="270" max="270" width="3.5703125" style="296" bestFit="1" customWidth="1"/>
    <col min="271" max="271" width="1.7109375" style="296" customWidth="1"/>
    <col min="272" max="272" width="51" style="296" bestFit="1" customWidth="1"/>
    <col min="273" max="273" width="1.7109375" style="296" customWidth="1"/>
    <col min="274" max="274" width="4.7109375" style="296" bestFit="1" customWidth="1"/>
    <col min="275" max="275" width="1.7109375" style="296" customWidth="1"/>
    <col min="276" max="276" width="13.7109375" style="296" customWidth="1"/>
    <col min="277" max="277" width="1.7109375" style="296" customWidth="1"/>
    <col min="278" max="278" width="13.7109375" style="296" customWidth="1"/>
    <col min="279" max="512" width="2.28515625" style="296"/>
    <col min="513" max="513" width="4.140625" style="296" bestFit="1" customWidth="1"/>
    <col min="514" max="514" width="1.7109375" style="296" customWidth="1"/>
    <col min="515" max="515" width="38" style="296" bestFit="1" customWidth="1"/>
    <col min="516" max="516" width="1.7109375" style="296" customWidth="1"/>
    <col min="517" max="517" width="4.7109375" style="296" bestFit="1" customWidth="1"/>
    <col min="518" max="518" width="1.7109375" style="296" customWidth="1"/>
    <col min="519" max="519" width="13.7109375" style="296" customWidth="1"/>
    <col min="520" max="520" width="1.7109375" style="296" customWidth="1"/>
    <col min="521" max="521" width="13.7109375" style="296" customWidth="1"/>
    <col min="522" max="522" width="1.7109375" style="296" customWidth="1"/>
    <col min="523" max="523" width="13.7109375" style="296" customWidth="1"/>
    <col min="524" max="524" width="1.7109375" style="296" customWidth="1"/>
    <col min="525" max="525" width="13.7109375" style="296" customWidth="1"/>
    <col min="526" max="526" width="3.5703125" style="296" bestFit="1" customWidth="1"/>
    <col min="527" max="527" width="1.7109375" style="296" customWidth="1"/>
    <col min="528" max="528" width="51" style="296" bestFit="1" customWidth="1"/>
    <col min="529" max="529" width="1.7109375" style="296" customWidth="1"/>
    <col min="530" max="530" width="4.7109375" style="296" bestFit="1" customWidth="1"/>
    <col min="531" max="531" width="1.7109375" style="296" customWidth="1"/>
    <col min="532" max="532" width="13.7109375" style="296" customWidth="1"/>
    <col min="533" max="533" width="1.7109375" style="296" customWidth="1"/>
    <col min="534" max="534" width="13.7109375" style="296" customWidth="1"/>
    <col min="535" max="768" width="2.28515625" style="296"/>
    <col min="769" max="769" width="4.140625" style="296" bestFit="1" customWidth="1"/>
    <col min="770" max="770" width="1.7109375" style="296" customWidth="1"/>
    <col min="771" max="771" width="38" style="296" bestFit="1" customWidth="1"/>
    <col min="772" max="772" width="1.7109375" style="296" customWidth="1"/>
    <col min="773" max="773" width="4.7109375" style="296" bestFit="1" customWidth="1"/>
    <col min="774" max="774" width="1.7109375" style="296" customWidth="1"/>
    <col min="775" max="775" width="13.7109375" style="296" customWidth="1"/>
    <col min="776" max="776" width="1.7109375" style="296" customWidth="1"/>
    <col min="777" max="777" width="13.7109375" style="296" customWidth="1"/>
    <col min="778" max="778" width="1.7109375" style="296" customWidth="1"/>
    <col min="779" max="779" width="13.7109375" style="296" customWidth="1"/>
    <col min="780" max="780" width="1.7109375" style="296" customWidth="1"/>
    <col min="781" max="781" width="13.7109375" style="296" customWidth="1"/>
    <col min="782" max="782" width="3.5703125" style="296" bestFit="1" customWidth="1"/>
    <col min="783" max="783" width="1.7109375" style="296" customWidth="1"/>
    <col min="784" max="784" width="51" style="296" bestFit="1" customWidth="1"/>
    <col min="785" max="785" width="1.7109375" style="296" customWidth="1"/>
    <col min="786" max="786" width="4.7109375" style="296" bestFit="1" customWidth="1"/>
    <col min="787" max="787" width="1.7109375" style="296" customWidth="1"/>
    <col min="788" max="788" width="13.7109375" style="296" customWidth="1"/>
    <col min="789" max="789" width="1.7109375" style="296" customWidth="1"/>
    <col min="790" max="790" width="13.7109375" style="296" customWidth="1"/>
    <col min="791" max="1024" width="2.28515625" style="296"/>
    <col min="1025" max="1025" width="4.140625" style="296" bestFit="1" customWidth="1"/>
    <col min="1026" max="1026" width="1.7109375" style="296" customWidth="1"/>
    <col min="1027" max="1027" width="38" style="296" bestFit="1" customWidth="1"/>
    <col min="1028" max="1028" width="1.7109375" style="296" customWidth="1"/>
    <col min="1029" max="1029" width="4.7109375" style="296" bestFit="1" customWidth="1"/>
    <col min="1030" max="1030" width="1.7109375" style="296" customWidth="1"/>
    <col min="1031" max="1031" width="13.7109375" style="296" customWidth="1"/>
    <col min="1032" max="1032" width="1.7109375" style="296" customWidth="1"/>
    <col min="1033" max="1033" width="13.7109375" style="296" customWidth="1"/>
    <col min="1034" max="1034" width="1.7109375" style="296" customWidth="1"/>
    <col min="1035" max="1035" width="13.7109375" style="296" customWidth="1"/>
    <col min="1036" max="1036" width="1.7109375" style="296" customWidth="1"/>
    <col min="1037" max="1037" width="13.7109375" style="296" customWidth="1"/>
    <col min="1038" max="1038" width="3.5703125" style="296" bestFit="1" customWidth="1"/>
    <col min="1039" max="1039" width="1.7109375" style="296" customWidth="1"/>
    <col min="1040" max="1040" width="51" style="296" bestFit="1" customWidth="1"/>
    <col min="1041" max="1041" width="1.7109375" style="296" customWidth="1"/>
    <col min="1042" max="1042" width="4.7109375" style="296" bestFit="1" customWidth="1"/>
    <col min="1043" max="1043" width="1.7109375" style="296" customWidth="1"/>
    <col min="1044" max="1044" width="13.7109375" style="296" customWidth="1"/>
    <col min="1045" max="1045" width="1.7109375" style="296" customWidth="1"/>
    <col min="1046" max="1046" width="13.7109375" style="296" customWidth="1"/>
    <col min="1047" max="1280" width="2.28515625" style="296"/>
    <col min="1281" max="1281" width="4.140625" style="296" bestFit="1" customWidth="1"/>
    <col min="1282" max="1282" width="1.7109375" style="296" customWidth="1"/>
    <col min="1283" max="1283" width="38" style="296" bestFit="1" customWidth="1"/>
    <col min="1284" max="1284" width="1.7109375" style="296" customWidth="1"/>
    <col min="1285" max="1285" width="4.7109375" style="296" bestFit="1" customWidth="1"/>
    <col min="1286" max="1286" width="1.7109375" style="296" customWidth="1"/>
    <col min="1287" max="1287" width="13.7109375" style="296" customWidth="1"/>
    <col min="1288" max="1288" width="1.7109375" style="296" customWidth="1"/>
    <col min="1289" max="1289" width="13.7109375" style="296" customWidth="1"/>
    <col min="1290" max="1290" width="1.7109375" style="296" customWidth="1"/>
    <col min="1291" max="1291" width="13.7109375" style="296" customWidth="1"/>
    <col min="1292" max="1292" width="1.7109375" style="296" customWidth="1"/>
    <col min="1293" max="1293" width="13.7109375" style="296" customWidth="1"/>
    <col min="1294" max="1294" width="3.5703125" style="296" bestFit="1" customWidth="1"/>
    <col min="1295" max="1295" width="1.7109375" style="296" customWidth="1"/>
    <col min="1296" max="1296" width="51" style="296" bestFit="1" customWidth="1"/>
    <col min="1297" max="1297" width="1.7109375" style="296" customWidth="1"/>
    <col min="1298" max="1298" width="4.7109375" style="296" bestFit="1" customWidth="1"/>
    <col min="1299" max="1299" width="1.7109375" style="296" customWidth="1"/>
    <col min="1300" max="1300" width="13.7109375" style="296" customWidth="1"/>
    <col min="1301" max="1301" width="1.7109375" style="296" customWidth="1"/>
    <col min="1302" max="1302" width="13.7109375" style="296" customWidth="1"/>
    <col min="1303" max="1536" width="2.28515625" style="296"/>
    <col min="1537" max="1537" width="4.140625" style="296" bestFit="1" customWidth="1"/>
    <col min="1538" max="1538" width="1.7109375" style="296" customWidth="1"/>
    <col min="1539" max="1539" width="38" style="296" bestFit="1" customWidth="1"/>
    <col min="1540" max="1540" width="1.7109375" style="296" customWidth="1"/>
    <col min="1541" max="1541" width="4.7109375" style="296" bestFit="1" customWidth="1"/>
    <col min="1542" max="1542" width="1.7109375" style="296" customWidth="1"/>
    <col min="1543" max="1543" width="13.7109375" style="296" customWidth="1"/>
    <col min="1544" max="1544" width="1.7109375" style="296" customWidth="1"/>
    <col min="1545" max="1545" width="13.7109375" style="296" customWidth="1"/>
    <col min="1546" max="1546" width="1.7109375" style="296" customWidth="1"/>
    <col min="1547" max="1547" width="13.7109375" style="296" customWidth="1"/>
    <col min="1548" max="1548" width="1.7109375" style="296" customWidth="1"/>
    <col min="1549" max="1549" width="13.7109375" style="296" customWidth="1"/>
    <col min="1550" max="1550" width="3.5703125" style="296" bestFit="1" customWidth="1"/>
    <col min="1551" max="1551" width="1.7109375" style="296" customWidth="1"/>
    <col min="1552" max="1552" width="51" style="296" bestFit="1" customWidth="1"/>
    <col min="1553" max="1553" width="1.7109375" style="296" customWidth="1"/>
    <col min="1554" max="1554" width="4.7109375" style="296" bestFit="1" customWidth="1"/>
    <col min="1555" max="1555" width="1.7109375" style="296" customWidth="1"/>
    <col min="1556" max="1556" width="13.7109375" style="296" customWidth="1"/>
    <col min="1557" max="1557" width="1.7109375" style="296" customWidth="1"/>
    <col min="1558" max="1558" width="13.7109375" style="296" customWidth="1"/>
    <col min="1559" max="1792" width="2.28515625" style="296"/>
    <col min="1793" max="1793" width="4.140625" style="296" bestFit="1" customWidth="1"/>
    <col min="1794" max="1794" width="1.7109375" style="296" customWidth="1"/>
    <col min="1795" max="1795" width="38" style="296" bestFit="1" customWidth="1"/>
    <col min="1796" max="1796" width="1.7109375" style="296" customWidth="1"/>
    <col min="1797" max="1797" width="4.7109375" style="296" bestFit="1" customWidth="1"/>
    <col min="1798" max="1798" width="1.7109375" style="296" customWidth="1"/>
    <col min="1799" max="1799" width="13.7109375" style="296" customWidth="1"/>
    <col min="1800" max="1800" width="1.7109375" style="296" customWidth="1"/>
    <col min="1801" max="1801" width="13.7109375" style="296" customWidth="1"/>
    <col min="1802" max="1802" width="1.7109375" style="296" customWidth="1"/>
    <col min="1803" max="1803" width="13.7109375" style="296" customWidth="1"/>
    <col min="1804" max="1804" width="1.7109375" style="296" customWidth="1"/>
    <col min="1805" max="1805" width="13.7109375" style="296" customWidth="1"/>
    <col min="1806" max="1806" width="3.5703125" style="296" bestFit="1" customWidth="1"/>
    <col min="1807" max="1807" width="1.7109375" style="296" customWidth="1"/>
    <col min="1808" max="1808" width="51" style="296" bestFit="1" customWidth="1"/>
    <col min="1809" max="1809" width="1.7109375" style="296" customWidth="1"/>
    <col min="1810" max="1810" width="4.7109375" style="296" bestFit="1" customWidth="1"/>
    <col min="1811" max="1811" width="1.7109375" style="296" customWidth="1"/>
    <col min="1812" max="1812" width="13.7109375" style="296" customWidth="1"/>
    <col min="1813" max="1813" width="1.7109375" style="296" customWidth="1"/>
    <col min="1814" max="1814" width="13.7109375" style="296" customWidth="1"/>
    <col min="1815" max="2048" width="2.28515625" style="296"/>
    <col min="2049" max="2049" width="4.140625" style="296" bestFit="1" customWidth="1"/>
    <col min="2050" max="2050" width="1.7109375" style="296" customWidth="1"/>
    <col min="2051" max="2051" width="38" style="296" bestFit="1" customWidth="1"/>
    <col min="2052" max="2052" width="1.7109375" style="296" customWidth="1"/>
    <col min="2053" max="2053" width="4.7109375" style="296" bestFit="1" customWidth="1"/>
    <col min="2054" max="2054" width="1.7109375" style="296" customWidth="1"/>
    <col min="2055" max="2055" width="13.7109375" style="296" customWidth="1"/>
    <col min="2056" max="2056" width="1.7109375" style="296" customWidth="1"/>
    <col min="2057" max="2057" width="13.7109375" style="296" customWidth="1"/>
    <col min="2058" max="2058" width="1.7109375" style="296" customWidth="1"/>
    <col min="2059" max="2059" width="13.7109375" style="296" customWidth="1"/>
    <col min="2060" max="2060" width="1.7109375" style="296" customWidth="1"/>
    <col min="2061" max="2061" width="13.7109375" style="296" customWidth="1"/>
    <col min="2062" max="2062" width="3.5703125" style="296" bestFit="1" customWidth="1"/>
    <col min="2063" max="2063" width="1.7109375" style="296" customWidth="1"/>
    <col min="2064" max="2064" width="51" style="296" bestFit="1" customWidth="1"/>
    <col min="2065" max="2065" width="1.7109375" style="296" customWidth="1"/>
    <col min="2066" max="2066" width="4.7109375" style="296" bestFit="1" customWidth="1"/>
    <col min="2067" max="2067" width="1.7109375" style="296" customWidth="1"/>
    <col min="2068" max="2068" width="13.7109375" style="296" customWidth="1"/>
    <col min="2069" max="2069" width="1.7109375" style="296" customWidth="1"/>
    <col min="2070" max="2070" width="13.7109375" style="296" customWidth="1"/>
    <col min="2071" max="2304" width="2.28515625" style="296"/>
    <col min="2305" max="2305" width="4.140625" style="296" bestFit="1" customWidth="1"/>
    <col min="2306" max="2306" width="1.7109375" style="296" customWidth="1"/>
    <col min="2307" max="2307" width="38" style="296" bestFit="1" customWidth="1"/>
    <col min="2308" max="2308" width="1.7109375" style="296" customWidth="1"/>
    <col min="2309" max="2309" width="4.7109375" style="296" bestFit="1" customWidth="1"/>
    <col min="2310" max="2310" width="1.7109375" style="296" customWidth="1"/>
    <col min="2311" max="2311" width="13.7109375" style="296" customWidth="1"/>
    <col min="2312" max="2312" width="1.7109375" style="296" customWidth="1"/>
    <col min="2313" max="2313" width="13.7109375" style="296" customWidth="1"/>
    <col min="2314" max="2314" width="1.7109375" style="296" customWidth="1"/>
    <col min="2315" max="2315" width="13.7109375" style="296" customWidth="1"/>
    <col min="2316" max="2316" width="1.7109375" style="296" customWidth="1"/>
    <col min="2317" max="2317" width="13.7109375" style="296" customWidth="1"/>
    <col min="2318" max="2318" width="3.5703125" style="296" bestFit="1" customWidth="1"/>
    <col min="2319" max="2319" width="1.7109375" style="296" customWidth="1"/>
    <col min="2320" max="2320" width="51" style="296" bestFit="1" customWidth="1"/>
    <col min="2321" max="2321" width="1.7109375" style="296" customWidth="1"/>
    <col min="2322" max="2322" width="4.7109375" style="296" bestFit="1" customWidth="1"/>
    <col min="2323" max="2323" width="1.7109375" style="296" customWidth="1"/>
    <col min="2324" max="2324" width="13.7109375" style="296" customWidth="1"/>
    <col min="2325" max="2325" width="1.7109375" style="296" customWidth="1"/>
    <col min="2326" max="2326" width="13.7109375" style="296" customWidth="1"/>
    <col min="2327" max="2560" width="2.28515625" style="296"/>
    <col min="2561" max="2561" width="4.140625" style="296" bestFit="1" customWidth="1"/>
    <col min="2562" max="2562" width="1.7109375" style="296" customWidth="1"/>
    <col min="2563" max="2563" width="38" style="296" bestFit="1" customWidth="1"/>
    <col min="2564" max="2564" width="1.7109375" style="296" customWidth="1"/>
    <col min="2565" max="2565" width="4.7109375" style="296" bestFit="1" customWidth="1"/>
    <col min="2566" max="2566" width="1.7109375" style="296" customWidth="1"/>
    <col min="2567" max="2567" width="13.7109375" style="296" customWidth="1"/>
    <col min="2568" max="2568" width="1.7109375" style="296" customWidth="1"/>
    <col min="2569" max="2569" width="13.7109375" style="296" customWidth="1"/>
    <col min="2570" max="2570" width="1.7109375" style="296" customWidth="1"/>
    <col min="2571" max="2571" width="13.7109375" style="296" customWidth="1"/>
    <col min="2572" max="2572" width="1.7109375" style="296" customWidth="1"/>
    <col min="2573" max="2573" width="13.7109375" style="296" customWidth="1"/>
    <col min="2574" max="2574" width="3.5703125" style="296" bestFit="1" customWidth="1"/>
    <col min="2575" max="2575" width="1.7109375" style="296" customWidth="1"/>
    <col min="2576" max="2576" width="51" style="296" bestFit="1" customWidth="1"/>
    <col min="2577" max="2577" width="1.7109375" style="296" customWidth="1"/>
    <col min="2578" max="2578" width="4.7109375" style="296" bestFit="1" customWidth="1"/>
    <col min="2579" max="2579" width="1.7109375" style="296" customWidth="1"/>
    <col min="2580" max="2580" width="13.7109375" style="296" customWidth="1"/>
    <col min="2581" max="2581" width="1.7109375" style="296" customWidth="1"/>
    <col min="2582" max="2582" width="13.7109375" style="296" customWidth="1"/>
    <col min="2583" max="2816" width="2.28515625" style="296"/>
    <col min="2817" max="2817" width="4.140625" style="296" bestFit="1" customWidth="1"/>
    <col min="2818" max="2818" width="1.7109375" style="296" customWidth="1"/>
    <col min="2819" max="2819" width="38" style="296" bestFit="1" customWidth="1"/>
    <col min="2820" max="2820" width="1.7109375" style="296" customWidth="1"/>
    <col min="2821" max="2821" width="4.7109375" style="296" bestFit="1" customWidth="1"/>
    <col min="2822" max="2822" width="1.7109375" style="296" customWidth="1"/>
    <col min="2823" max="2823" width="13.7109375" style="296" customWidth="1"/>
    <col min="2824" max="2824" width="1.7109375" style="296" customWidth="1"/>
    <col min="2825" max="2825" width="13.7109375" style="296" customWidth="1"/>
    <col min="2826" max="2826" width="1.7109375" style="296" customWidth="1"/>
    <col min="2827" max="2827" width="13.7109375" style="296" customWidth="1"/>
    <col min="2828" max="2828" width="1.7109375" style="296" customWidth="1"/>
    <col min="2829" max="2829" width="13.7109375" style="296" customWidth="1"/>
    <col min="2830" max="2830" width="3.5703125" style="296" bestFit="1" customWidth="1"/>
    <col min="2831" max="2831" width="1.7109375" style="296" customWidth="1"/>
    <col min="2832" max="2832" width="51" style="296" bestFit="1" customWidth="1"/>
    <col min="2833" max="2833" width="1.7109375" style="296" customWidth="1"/>
    <col min="2834" max="2834" width="4.7109375" style="296" bestFit="1" customWidth="1"/>
    <col min="2835" max="2835" width="1.7109375" style="296" customWidth="1"/>
    <col min="2836" max="2836" width="13.7109375" style="296" customWidth="1"/>
    <col min="2837" max="2837" width="1.7109375" style="296" customWidth="1"/>
    <col min="2838" max="2838" width="13.7109375" style="296" customWidth="1"/>
    <col min="2839" max="3072" width="2.28515625" style="296"/>
    <col min="3073" max="3073" width="4.140625" style="296" bestFit="1" customWidth="1"/>
    <col min="3074" max="3074" width="1.7109375" style="296" customWidth="1"/>
    <col min="3075" max="3075" width="38" style="296" bestFit="1" customWidth="1"/>
    <col min="3076" max="3076" width="1.7109375" style="296" customWidth="1"/>
    <col min="3077" max="3077" width="4.7109375" style="296" bestFit="1" customWidth="1"/>
    <col min="3078" max="3078" width="1.7109375" style="296" customWidth="1"/>
    <col min="3079" max="3079" width="13.7109375" style="296" customWidth="1"/>
    <col min="3080" max="3080" width="1.7109375" style="296" customWidth="1"/>
    <col min="3081" max="3081" width="13.7109375" style="296" customWidth="1"/>
    <col min="3082" max="3082" width="1.7109375" style="296" customWidth="1"/>
    <col min="3083" max="3083" width="13.7109375" style="296" customWidth="1"/>
    <col min="3084" max="3084" width="1.7109375" style="296" customWidth="1"/>
    <col min="3085" max="3085" width="13.7109375" style="296" customWidth="1"/>
    <col min="3086" max="3086" width="3.5703125" style="296" bestFit="1" customWidth="1"/>
    <col min="3087" max="3087" width="1.7109375" style="296" customWidth="1"/>
    <col min="3088" max="3088" width="51" style="296" bestFit="1" customWidth="1"/>
    <col min="3089" max="3089" width="1.7109375" style="296" customWidth="1"/>
    <col min="3090" max="3090" width="4.7109375" style="296" bestFit="1" customWidth="1"/>
    <col min="3091" max="3091" width="1.7109375" style="296" customWidth="1"/>
    <col min="3092" max="3092" width="13.7109375" style="296" customWidth="1"/>
    <col min="3093" max="3093" width="1.7109375" style="296" customWidth="1"/>
    <col min="3094" max="3094" width="13.7109375" style="296" customWidth="1"/>
    <col min="3095" max="3328" width="2.28515625" style="296"/>
    <col min="3329" max="3329" width="4.140625" style="296" bestFit="1" customWidth="1"/>
    <col min="3330" max="3330" width="1.7109375" style="296" customWidth="1"/>
    <col min="3331" max="3331" width="38" style="296" bestFit="1" customWidth="1"/>
    <col min="3332" max="3332" width="1.7109375" style="296" customWidth="1"/>
    <col min="3333" max="3333" width="4.7109375" style="296" bestFit="1" customWidth="1"/>
    <col min="3334" max="3334" width="1.7109375" style="296" customWidth="1"/>
    <col min="3335" max="3335" width="13.7109375" style="296" customWidth="1"/>
    <col min="3336" max="3336" width="1.7109375" style="296" customWidth="1"/>
    <col min="3337" max="3337" width="13.7109375" style="296" customWidth="1"/>
    <col min="3338" max="3338" width="1.7109375" style="296" customWidth="1"/>
    <col min="3339" max="3339" width="13.7109375" style="296" customWidth="1"/>
    <col min="3340" max="3340" width="1.7109375" style="296" customWidth="1"/>
    <col min="3341" max="3341" width="13.7109375" style="296" customWidth="1"/>
    <col min="3342" max="3342" width="3.5703125" style="296" bestFit="1" customWidth="1"/>
    <col min="3343" max="3343" width="1.7109375" style="296" customWidth="1"/>
    <col min="3344" max="3344" width="51" style="296" bestFit="1" customWidth="1"/>
    <col min="3345" max="3345" width="1.7109375" style="296" customWidth="1"/>
    <col min="3346" max="3346" width="4.7109375" style="296" bestFit="1" customWidth="1"/>
    <col min="3347" max="3347" width="1.7109375" style="296" customWidth="1"/>
    <col min="3348" max="3348" width="13.7109375" style="296" customWidth="1"/>
    <col min="3349" max="3349" width="1.7109375" style="296" customWidth="1"/>
    <col min="3350" max="3350" width="13.7109375" style="296" customWidth="1"/>
    <col min="3351" max="3584" width="2.28515625" style="296"/>
    <col min="3585" max="3585" width="4.140625" style="296" bestFit="1" customWidth="1"/>
    <col min="3586" max="3586" width="1.7109375" style="296" customWidth="1"/>
    <col min="3587" max="3587" width="38" style="296" bestFit="1" customWidth="1"/>
    <col min="3588" max="3588" width="1.7109375" style="296" customWidth="1"/>
    <col min="3589" max="3589" width="4.7109375" style="296" bestFit="1" customWidth="1"/>
    <col min="3590" max="3590" width="1.7109375" style="296" customWidth="1"/>
    <col min="3591" max="3591" width="13.7109375" style="296" customWidth="1"/>
    <col min="3592" max="3592" width="1.7109375" style="296" customWidth="1"/>
    <col min="3593" max="3593" width="13.7109375" style="296" customWidth="1"/>
    <col min="3594" max="3594" width="1.7109375" style="296" customWidth="1"/>
    <col min="3595" max="3595" width="13.7109375" style="296" customWidth="1"/>
    <col min="3596" max="3596" width="1.7109375" style="296" customWidth="1"/>
    <col min="3597" max="3597" width="13.7109375" style="296" customWidth="1"/>
    <col min="3598" max="3598" width="3.5703125" style="296" bestFit="1" customWidth="1"/>
    <col min="3599" max="3599" width="1.7109375" style="296" customWidth="1"/>
    <col min="3600" max="3600" width="51" style="296" bestFit="1" customWidth="1"/>
    <col min="3601" max="3601" width="1.7109375" style="296" customWidth="1"/>
    <col min="3602" max="3602" width="4.7109375" style="296" bestFit="1" customWidth="1"/>
    <col min="3603" max="3603" width="1.7109375" style="296" customWidth="1"/>
    <col min="3604" max="3604" width="13.7109375" style="296" customWidth="1"/>
    <col min="3605" max="3605" width="1.7109375" style="296" customWidth="1"/>
    <col min="3606" max="3606" width="13.7109375" style="296" customWidth="1"/>
    <col min="3607" max="3840" width="2.28515625" style="296"/>
    <col min="3841" max="3841" width="4.140625" style="296" bestFit="1" customWidth="1"/>
    <col min="3842" max="3842" width="1.7109375" style="296" customWidth="1"/>
    <col min="3843" max="3843" width="38" style="296" bestFit="1" customWidth="1"/>
    <col min="3844" max="3844" width="1.7109375" style="296" customWidth="1"/>
    <col min="3845" max="3845" width="4.7109375" style="296" bestFit="1" customWidth="1"/>
    <col min="3846" max="3846" width="1.7109375" style="296" customWidth="1"/>
    <col min="3847" max="3847" width="13.7109375" style="296" customWidth="1"/>
    <col min="3848" max="3848" width="1.7109375" style="296" customWidth="1"/>
    <col min="3849" max="3849" width="13.7109375" style="296" customWidth="1"/>
    <col min="3850" max="3850" width="1.7109375" style="296" customWidth="1"/>
    <col min="3851" max="3851" width="13.7109375" style="296" customWidth="1"/>
    <col min="3852" max="3852" width="1.7109375" style="296" customWidth="1"/>
    <col min="3853" max="3853" width="13.7109375" style="296" customWidth="1"/>
    <col min="3854" max="3854" width="3.5703125" style="296" bestFit="1" customWidth="1"/>
    <col min="3855" max="3855" width="1.7109375" style="296" customWidth="1"/>
    <col min="3856" max="3856" width="51" style="296" bestFit="1" customWidth="1"/>
    <col min="3857" max="3857" width="1.7109375" style="296" customWidth="1"/>
    <col min="3858" max="3858" width="4.7109375" style="296" bestFit="1" customWidth="1"/>
    <col min="3859" max="3859" width="1.7109375" style="296" customWidth="1"/>
    <col min="3860" max="3860" width="13.7109375" style="296" customWidth="1"/>
    <col min="3861" max="3861" width="1.7109375" style="296" customWidth="1"/>
    <col min="3862" max="3862" width="13.7109375" style="296" customWidth="1"/>
    <col min="3863" max="4096" width="2.28515625" style="296"/>
    <col min="4097" max="4097" width="4.140625" style="296" bestFit="1" customWidth="1"/>
    <col min="4098" max="4098" width="1.7109375" style="296" customWidth="1"/>
    <col min="4099" max="4099" width="38" style="296" bestFit="1" customWidth="1"/>
    <col min="4100" max="4100" width="1.7109375" style="296" customWidth="1"/>
    <col min="4101" max="4101" width="4.7109375" style="296" bestFit="1" customWidth="1"/>
    <col min="4102" max="4102" width="1.7109375" style="296" customWidth="1"/>
    <col min="4103" max="4103" width="13.7109375" style="296" customWidth="1"/>
    <col min="4104" max="4104" width="1.7109375" style="296" customWidth="1"/>
    <col min="4105" max="4105" width="13.7109375" style="296" customWidth="1"/>
    <col min="4106" max="4106" width="1.7109375" style="296" customWidth="1"/>
    <col min="4107" max="4107" width="13.7109375" style="296" customWidth="1"/>
    <col min="4108" max="4108" width="1.7109375" style="296" customWidth="1"/>
    <col min="4109" max="4109" width="13.7109375" style="296" customWidth="1"/>
    <col min="4110" max="4110" width="3.5703125" style="296" bestFit="1" customWidth="1"/>
    <col min="4111" max="4111" width="1.7109375" style="296" customWidth="1"/>
    <col min="4112" max="4112" width="51" style="296" bestFit="1" customWidth="1"/>
    <col min="4113" max="4113" width="1.7109375" style="296" customWidth="1"/>
    <col min="4114" max="4114" width="4.7109375" style="296" bestFit="1" customWidth="1"/>
    <col min="4115" max="4115" width="1.7109375" style="296" customWidth="1"/>
    <col min="4116" max="4116" width="13.7109375" style="296" customWidth="1"/>
    <col min="4117" max="4117" width="1.7109375" style="296" customWidth="1"/>
    <col min="4118" max="4118" width="13.7109375" style="296" customWidth="1"/>
    <col min="4119" max="4352" width="2.28515625" style="296"/>
    <col min="4353" max="4353" width="4.140625" style="296" bestFit="1" customWidth="1"/>
    <col min="4354" max="4354" width="1.7109375" style="296" customWidth="1"/>
    <col min="4355" max="4355" width="38" style="296" bestFit="1" customWidth="1"/>
    <col min="4356" max="4356" width="1.7109375" style="296" customWidth="1"/>
    <col min="4357" max="4357" width="4.7109375" style="296" bestFit="1" customWidth="1"/>
    <col min="4358" max="4358" width="1.7109375" style="296" customWidth="1"/>
    <col min="4359" max="4359" width="13.7109375" style="296" customWidth="1"/>
    <col min="4360" max="4360" width="1.7109375" style="296" customWidth="1"/>
    <col min="4361" max="4361" width="13.7109375" style="296" customWidth="1"/>
    <col min="4362" max="4362" width="1.7109375" style="296" customWidth="1"/>
    <col min="4363" max="4363" width="13.7109375" style="296" customWidth="1"/>
    <col min="4364" max="4364" width="1.7109375" style="296" customWidth="1"/>
    <col min="4365" max="4365" width="13.7109375" style="296" customWidth="1"/>
    <col min="4366" max="4366" width="3.5703125" style="296" bestFit="1" customWidth="1"/>
    <col min="4367" max="4367" width="1.7109375" style="296" customWidth="1"/>
    <col min="4368" max="4368" width="51" style="296" bestFit="1" customWidth="1"/>
    <col min="4369" max="4369" width="1.7109375" style="296" customWidth="1"/>
    <col min="4370" max="4370" width="4.7109375" style="296" bestFit="1" customWidth="1"/>
    <col min="4371" max="4371" width="1.7109375" style="296" customWidth="1"/>
    <col min="4372" max="4372" width="13.7109375" style="296" customWidth="1"/>
    <col min="4373" max="4373" width="1.7109375" style="296" customWidth="1"/>
    <col min="4374" max="4374" width="13.7109375" style="296" customWidth="1"/>
    <col min="4375" max="4608" width="2.28515625" style="296"/>
    <col min="4609" max="4609" width="4.140625" style="296" bestFit="1" customWidth="1"/>
    <col min="4610" max="4610" width="1.7109375" style="296" customWidth="1"/>
    <col min="4611" max="4611" width="38" style="296" bestFit="1" customWidth="1"/>
    <col min="4612" max="4612" width="1.7109375" style="296" customWidth="1"/>
    <col min="4613" max="4613" width="4.7109375" style="296" bestFit="1" customWidth="1"/>
    <col min="4614" max="4614" width="1.7109375" style="296" customWidth="1"/>
    <col min="4615" max="4615" width="13.7109375" style="296" customWidth="1"/>
    <col min="4616" max="4616" width="1.7109375" style="296" customWidth="1"/>
    <col min="4617" max="4617" width="13.7109375" style="296" customWidth="1"/>
    <col min="4618" max="4618" width="1.7109375" style="296" customWidth="1"/>
    <col min="4619" max="4619" width="13.7109375" style="296" customWidth="1"/>
    <col min="4620" max="4620" width="1.7109375" style="296" customWidth="1"/>
    <col min="4621" max="4621" width="13.7109375" style="296" customWidth="1"/>
    <col min="4622" max="4622" width="3.5703125" style="296" bestFit="1" customWidth="1"/>
    <col min="4623" max="4623" width="1.7109375" style="296" customWidth="1"/>
    <col min="4624" max="4624" width="51" style="296" bestFit="1" customWidth="1"/>
    <col min="4625" max="4625" width="1.7109375" style="296" customWidth="1"/>
    <col min="4626" max="4626" width="4.7109375" style="296" bestFit="1" customWidth="1"/>
    <col min="4627" max="4627" width="1.7109375" style="296" customWidth="1"/>
    <col min="4628" max="4628" width="13.7109375" style="296" customWidth="1"/>
    <col min="4629" max="4629" width="1.7109375" style="296" customWidth="1"/>
    <col min="4630" max="4630" width="13.7109375" style="296" customWidth="1"/>
    <col min="4631" max="4864" width="2.28515625" style="296"/>
    <col min="4865" max="4865" width="4.140625" style="296" bestFit="1" customWidth="1"/>
    <col min="4866" max="4866" width="1.7109375" style="296" customWidth="1"/>
    <col min="4867" max="4867" width="38" style="296" bestFit="1" customWidth="1"/>
    <col min="4868" max="4868" width="1.7109375" style="296" customWidth="1"/>
    <col min="4869" max="4869" width="4.7109375" style="296" bestFit="1" customWidth="1"/>
    <col min="4870" max="4870" width="1.7109375" style="296" customWidth="1"/>
    <col min="4871" max="4871" width="13.7109375" style="296" customWidth="1"/>
    <col min="4872" max="4872" width="1.7109375" style="296" customWidth="1"/>
    <col min="4873" max="4873" width="13.7109375" style="296" customWidth="1"/>
    <col min="4874" max="4874" width="1.7109375" style="296" customWidth="1"/>
    <col min="4875" max="4875" width="13.7109375" style="296" customWidth="1"/>
    <col min="4876" max="4876" width="1.7109375" style="296" customWidth="1"/>
    <col min="4877" max="4877" width="13.7109375" style="296" customWidth="1"/>
    <col min="4878" max="4878" width="3.5703125" style="296" bestFit="1" customWidth="1"/>
    <col min="4879" max="4879" width="1.7109375" style="296" customWidth="1"/>
    <col min="4880" max="4880" width="51" style="296" bestFit="1" customWidth="1"/>
    <col min="4881" max="4881" width="1.7109375" style="296" customWidth="1"/>
    <col min="4882" max="4882" width="4.7109375" style="296" bestFit="1" customWidth="1"/>
    <col min="4883" max="4883" width="1.7109375" style="296" customWidth="1"/>
    <col min="4884" max="4884" width="13.7109375" style="296" customWidth="1"/>
    <col min="4885" max="4885" width="1.7109375" style="296" customWidth="1"/>
    <col min="4886" max="4886" width="13.7109375" style="296" customWidth="1"/>
    <col min="4887" max="5120" width="2.28515625" style="296"/>
    <col min="5121" max="5121" width="4.140625" style="296" bestFit="1" customWidth="1"/>
    <col min="5122" max="5122" width="1.7109375" style="296" customWidth="1"/>
    <col min="5123" max="5123" width="38" style="296" bestFit="1" customWidth="1"/>
    <col min="5124" max="5124" width="1.7109375" style="296" customWidth="1"/>
    <col min="5125" max="5125" width="4.7109375" style="296" bestFit="1" customWidth="1"/>
    <col min="5126" max="5126" width="1.7109375" style="296" customWidth="1"/>
    <col min="5127" max="5127" width="13.7109375" style="296" customWidth="1"/>
    <col min="5128" max="5128" width="1.7109375" style="296" customWidth="1"/>
    <col min="5129" max="5129" width="13.7109375" style="296" customWidth="1"/>
    <col min="5130" max="5130" width="1.7109375" style="296" customWidth="1"/>
    <col min="5131" max="5131" width="13.7109375" style="296" customWidth="1"/>
    <col min="5132" max="5132" width="1.7109375" style="296" customWidth="1"/>
    <col min="5133" max="5133" width="13.7109375" style="296" customWidth="1"/>
    <col min="5134" max="5134" width="3.5703125" style="296" bestFit="1" customWidth="1"/>
    <col min="5135" max="5135" width="1.7109375" style="296" customWidth="1"/>
    <col min="5136" max="5136" width="51" style="296" bestFit="1" customWidth="1"/>
    <col min="5137" max="5137" width="1.7109375" style="296" customWidth="1"/>
    <col min="5138" max="5138" width="4.7109375" style="296" bestFit="1" customWidth="1"/>
    <col min="5139" max="5139" width="1.7109375" style="296" customWidth="1"/>
    <col min="5140" max="5140" width="13.7109375" style="296" customWidth="1"/>
    <col min="5141" max="5141" width="1.7109375" style="296" customWidth="1"/>
    <col min="5142" max="5142" width="13.7109375" style="296" customWidth="1"/>
    <col min="5143" max="5376" width="2.28515625" style="296"/>
    <col min="5377" max="5377" width="4.140625" style="296" bestFit="1" customWidth="1"/>
    <col min="5378" max="5378" width="1.7109375" style="296" customWidth="1"/>
    <col min="5379" max="5379" width="38" style="296" bestFit="1" customWidth="1"/>
    <col min="5380" max="5380" width="1.7109375" style="296" customWidth="1"/>
    <col min="5381" max="5381" width="4.7109375" style="296" bestFit="1" customWidth="1"/>
    <col min="5382" max="5382" width="1.7109375" style="296" customWidth="1"/>
    <col min="5383" max="5383" width="13.7109375" style="296" customWidth="1"/>
    <col min="5384" max="5384" width="1.7109375" style="296" customWidth="1"/>
    <col min="5385" max="5385" width="13.7109375" style="296" customWidth="1"/>
    <col min="5386" max="5386" width="1.7109375" style="296" customWidth="1"/>
    <col min="5387" max="5387" width="13.7109375" style="296" customWidth="1"/>
    <col min="5388" max="5388" width="1.7109375" style="296" customWidth="1"/>
    <col min="5389" max="5389" width="13.7109375" style="296" customWidth="1"/>
    <col min="5390" max="5390" width="3.5703125" style="296" bestFit="1" customWidth="1"/>
    <col min="5391" max="5391" width="1.7109375" style="296" customWidth="1"/>
    <col min="5392" max="5392" width="51" style="296" bestFit="1" customWidth="1"/>
    <col min="5393" max="5393" width="1.7109375" style="296" customWidth="1"/>
    <col min="5394" max="5394" width="4.7109375" style="296" bestFit="1" customWidth="1"/>
    <col min="5395" max="5395" width="1.7109375" style="296" customWidth="1"/>
    <col min="5396" max="5396" width="13.7109375" style="296" customWidth="1"/>
    <col min="5397" max="5397" width="1.7109375" style="296" customWidth="1"/>
    <col min="5398" max="5398" width="13.7109375" style="296" customWidth="1"/>
    <col min="5399" max="5632" width="2.28515625" style="296"/>
    <col min="5633" max="5633" width="4.140625" style="296" bestFit="1" customWidth="1"/>
    <col min="5634" max="5634" width="1.7109375" style="296" customWidth="1"/>
    <col min="5635" max="5635" width="38" style="296" bestFit="1" customWidth="1"/>
    <col min="5636" max="5636" width="1.7109375" style="296" customWidth="1"/>
    <col min="5637" max="5637" width="4.7109375" style="296" bestFit="1" customWidth="1"/>
    <col min="5638" max="5638" width="1.7109375" style="296" customWidth="1"/>
    <col min="5639" max="5639" width="13.7109375" style="296" customWidth="1"/>
    <col min="5640" max="5640" width="1.7109375" style="296" customWidth="1"/>
    <col min="5641" max="5641" width="13.7109375" style="296" customWidth="1"/>
    <col min="5642" max="5642" width="1.7109375" style="296" customWidth="1"/>
    <col min="5643" max="5643" width="13.7109375" style="296" customWidth="1"/>
    <col min="5644" max="5644" width="1.7109375" style="296" customWidth="1"/>
    <col min="5645" max="5645" width="13.7109375" style="296" customWidth="1"/>
    <col min="5646" max="5646" width="3.5703125" style="296" bestFit="1" customWidth="1"/>
    <col min="5647" max="5647" width="1.7109375" style="296" customWidth="1"/>
    <col min="5648" max="5648" width="51" style="296" bestFit="1" customWidth="1"/>
    <col min="5649" max="5649" width="1.7109375" style="296" customWidth="1"/>
    <col min="5650" max="5650" width="4.7109375" style="296" bestFit="1" customWidth="1"/>
    <col min="5651" max="5651" width="1.7109375" style="296" customWidth="1"/>
    <col min="5652" max="5652" width="13.7109375" style="296" customWidth="1"/>
    <col min="5653" max="5653" width="1.7109375" style="296" customWidth="1"/>
    <col min="5654" max="5654" width="13.7109375" style="296" customWidth="1"/>
    <col min="5655" max="5888" width="2.28515625" style="296"/>
    <col min="5889" max="5889" width="4.140625" style="296" bestFit="1" customWidth="1"/>
    <col min="5890" max="5890" width="1.7109375" style="296" customWidth="1"/>
    <col min="5891" max="5891" width="38" style="296" bestFit="1" customWidth="1"/>
    <col min="5892" max="5892" width="1.7109375" style="296" customWidth="1"/>
    <col min="5893" max="5893" width="4.7109375" style="296" bestFit="1" customWidth="1"/>
    <col min="5894" max="5894" width="1.7109375" style="296" customWidth="1"/>
    <col min="5895" max="5895" width="13.7109375" style="296" customWidth="1"/>
    <col min="5896" max="5896" width="1.7109375" style="296" customWidth="1"/>
    <col min="5897" max="5897" width="13.7109375" style="296" customWidth="1"/>
    <col min="5898" max="5898" width="1.7109375" style="296" customWidth="1"/>
    <col min="5899" max="5899" width="13.7109375" style="296" customWidth="1"/>
    <col min="5900" max="5900" width="1.7109375" style="296" customWidth="1"/>
    <col min="5901" max="5901" width="13.7109375" style="296" customWidth="1"/>
    <col min="5902" max="5902" width="3.5703125" style="296" bestFit="1" customWidth="1"/>
    <col min="5903" max="5903" width="1.7109375" style="296" customWidth="1"/>
    <col min="5904" max="5904" width="51" style="296" bestFit="1" customWidth="1"/>
    <col min="5905" max="5905" width="1.7109375" style="296" customWidth="1"/>
    <col min="5906" max="5906" width="4.7109375" style="296" bestFit="1" customWidth="1"/>
    <col min="5907" max="5907" width="1.7109375" style="296" customWidth="1"/>
    <col min="5908" max="5908" width="13.7109375" style="296" customWidth="1"/>
    <col min="5909" max="5909" width="1.7109375" style="296" customWidth="1"/>
    <col min="5910" max="5910" width="13.7109375" style="296" customWidth="1"/>
    <col min="5911" max="6144" width="2.28515625" style="296"/>
    <col min="6145" max="6145" width="4.140625" style="296" bestFit="1" customWidth="1"/>
    <col min="6146" max="6146" width="1.7109375" style="296" customWidth="1"/>
    <col min="6147" max="6147" width="38" style="296" bestFit="1" customWidth="1"/>
    <col min="6148" max="6148" width="1.7109375" style="296" customWidth="1"/>
    <col min="6149" max="6149" width="4.7109375" style="296" bestFit="1" customWidth="1"/>
    <col min="6150" max="6150" width="1.7109375" style="296" customWidth="1"/>
    <col min="6151" max="6151" width="13.7109375" style="296" customWidth="1"/>
    <col min="6152" max="6152" width="1.7109375" style="296" customWidth="1"/>
    <col min="6153" max="6153" width="13.7109375" style="296" customWidth="1"/>
    <col min="6154" max="6154" width="1.7109375" style="296" customWidth="1"/>
    <col min="6155" max="6155" width="13.7109375" style="296" customWidth="1"/>
    <col min="6156" max="6156" width="1.7109375" style="296" customWidth="1"/>
    <col min="6157" max="6157" width="13.7109375" style="296" customWidth="1"/>
    <col min="6158" max="6158" width="3.5703125" style="296" bestFit="1" customWidth="1"/>
    <col min="6159" max="6159" width="1.7109375" style="296" customWidth="1"/>
    <col min="6160" max="6160" width="51" style="296" bestFit="1" customWidth="1"/>
    <col min="6161" max="6161" width="1.7109375" style="296" customWidth="1"/>
    <col min="6162" max="6162" width="4.7109375" style="296" bestFit="1" customWidth="1"/>
    <col min="6163" max="6163" width="1.7109375" style="296" customWidth="1"/>
    <col min="6164" max="6164" width="13.7109375" style="296" customWidth="1"/>
    <col min="6165" max="6165" width="1.7109375" style="296" customWidth="1"/>
    <col min="6166" max="6166" width="13.7109375" style="296" customWidth="1"/>
    <col min="6167" max="6400" width="2.28515625" style="296"/>
    <col min="6401" max="6401" width="4.140625" style="296" bestFit="1" customWidth="1"/>
    <col min="6402" max="6402" width="1.7109375" style="296" customWidth="1"/>
    <col min="6403" max="6403" width="38" style="296" bestFit="1" customWidth="1"/>
    <col min="6404" max="6404" width="1.7109375" style="296" customWidth="1"/>
    <col min="6405" max="6405" width="4.7109375" style="296" bestFit="1" customWidth="1"/>
    <col min="6406" max="6406" width="1.7109375" style="296" customWidth="1"/>
    <col min="6407" max="6407" width="13.7109375" style="296" customWidth="1"/>
    <col min="6408" max="6408" width="1.7109375" style="296" customWidth="1"/>
    <col min="6409" max="6409" width="13.7109375" style="296" customWidth="1"/>
    <col min="6410" max="6410" width="1.7109375" style="296" customWidth="1"/>
    <col min="6411" max="6411" width="13.7109375" style="296" customWidth="1"/>
    <col min="6412" max="6412" width="1.7109375" style="296" customWidth="1"/>
    <col min="6413" max="6413" width="13.7109375" style="296" customWidth="1"/>
    <col min="6414" max="6414" width="3.5703125" style="296" bestFit="1" customWidth="1"/>
    <col min="6415" max="6415" width="1.7109375" style="296" customWidth="1"/>
    <col min="6416" max="6416" width="51" style="296" bestFit="1" customWidth="1"/>
    <col min="6417" max="6417" width="1.7109375" style="296" customWidth="1"/>
    <col min="6418" max="6418" width="4.7109375" style="296" bestFit="1" customWidth="1"/>
    <col min="6419" max="6419" width="1.7109375" style="296" customWidth="1"/>
    <col min="6420" max="6420" width="13.7109375" style="296" customWidth="1"/>
    <col min="6421" max="6421" width="1.7109375" style="296" customWidth="1"/>
    <col min="6422" max="6422" width="13.7109375" style="296" customWidth="1"/>
    <col min="6423" max="6656" width="2.28515625" style="296"/>
    <col min="6657" max="6657" width="4.140625" style="296" bestFit="1" customWidth="1"/>
    <col min="6658" max="6658" width="1.7109375" style="296" customWidth="1"/>
    <col min="6659" max="6659" width="38" style="296" bestFit="1" customWidth="1"/>
    <col min="6660" max="6660" width="1.7109375" style="296" customWidth="1"/>
    <col min="6661" max="6661" width="4.7109375" style="296" bestFit="1" customWidth="1"/>
    <col min="6662" max="6662" width="1.7109375" style="296" customWidth="1"/>
    <col min="6663" max="6663" width="13.7109375" style="296" customWidth="1"/>
    <col min="6664" max="6664" width="1.7109375" style="296" customWidth="1"/>
    <col min="6665" max="6665" width="13.7109375" style="296" customWidth="1"/>
    <col min="6666" max="6666" width="1.7109375" style="296" customWidth="1"/>
    <col min="6667" max="6667" width="13.7109375" style="296" customWidth="1"/>
    <col min="6668" max="6668" width="1.7109375" style="296" customWidth="1"/>
    <col min="6669" max="6669" width="13.7109375" style="296" customWidth="1"/>
    <col min="6670" max="6670" width="3.5703125" style="296" bestFit="1" customWidth="1"/>
    <col min="6671" max="6671" width="1.7109375" style="296" customWidth="1"/>
    <col min="6672" max="6672" width="51" style="296" bestFit="1" customWidth="1"/>
    <col min="6673" max="6673" width="1.7109375" style="296" customWidth="1"/>
    <col min="6674" max="6674" width="4.7109375" style="296" bestFit="1" customWidth="1"/>
    <col min="6675" max="6675" width="1.7109375" style="296" customWidth="1"/>
    <col min="6676" max="6676" width="13.7109375" style="296" customWidth="1"/>
    <col min="6677" max="6677" width="1.7109375" style="296" customWidth="1"/>
    <col min="6678" max="6678" width="13.7109375" style="296" customWidth="1"/>
    <col min="6679" max="6912" width="2.28515625" style="296"/>
    <col min="6913" max="6913" width="4.140625" style="296" bestFit="1" customWidth="1"/>
    <col min="6914" max="6914" width="1.7109375" style="296" customWidth="1"/>
    <col min="6915" max="6915" width="38" style="296" bestFit="1" customWidth="1"/>
    <col min="6916" max="6916" width="1.7109375" style="296" customWidth="1"/>
    <col min="6917" max="6917" width="4.7109375" style="296" bestFit="1" customWidth="1"/>
    <col min="6918" max="6918" width="1.7109375" style="296" customWidth="1"/>
    <col min="6919" max="6919" width="13.7109375" style="296" customWidth="1"/>
    <col min="6920" max="6920" width="1.7109375" style="296" customWidth="1"/>
    <col min="6921" max="6921" width="13.7109375" style="296" customWidth="1"/>
    <col min="6922" max="6922" width="1.7109375" style="296" customWidth="1"/>
    <col min="6923" max="6923" width="13.7109375" style="296" customWidth="1"/>
    <col min="6924" max="6924" width="1.7109375" style="296" customWidth="1"/>
    <col min="6925" max="6925" width="13.7109375" style="296" customWidth="1"/>
    <col min="6926" max="6926" width="3.5703125" style="296" bestFit="1" customWidth="1"/>
    <col min="6927" max="6927" width="1.7109375" style="296" customWidth="1"/>
    <col min="6928" max="6928" width="51" style="296" bestFit="1" customWidth="1"/>
    <col min="6929" max="6929" width="1.7109375" style="296" customWidth="1"/>
    <col min="6930" max="6930" width="4.7109375" style="296" bestFit="1" customWidth="1"/>
    <col min="6931" max="6931" width="1.7109375" style="296" customWidth="1"/>
    <col min="6932" max="6932" width="13.7109375" style="296" customWidth="1"/>
    <col min="6933" max="6933" width="1.7109375" style="296" customWidth="1"/>
    <col min="6934" max="6934" width="13.7109375" style="296" customWidth="1"/>
    <col min="6935" max="7168" width="2.28515625" style="296"/>
    <col min="7169" max="7169" width="4.140625" style="296" bestFit="1" customWidth="1"/>
    <col min="7170" max="7170" width="1.7109375" style="296" customWidth="1"/>
    <col min="7171" max="7171" width="38" style="296" bestFit="1" customWidth="1"/>
    <col min="7172" max="7172" width="1.7109375" style="296" customWidth="1"/>
    <col min="7173" max="7173" width="4.7109375" style="296" bestFit="1" customWidth="1"/>
    <col min="7174" max="7174" width="1.7109375" style="296" customWidth="1"/>
    <col min="7175" max="7175" width="13.7109375" style="296" customWidth="1"/>
    <col min="7176" max="7176" width="1.7109375" style="296" customWidth="1"/>
    <col min="7177" max="7177" width="13.7109375" style="296" customWidth="1"/>
    <col min="7178" max="7178" width="1.7109375" style="296" customWidth="1"/>
    <col min="7179" max="7179" width="13.7109375" style="296" customWidth="1"/>
    <col min="7180" max="7180" width="1.7109375" style="296" customWidth="1"/>
    <col min="7181" max="7181" width="13.7109375" style="296" customWidth="1"/>
    <col min="7182" max="7182" width="3.5703125" style="296" bestFit="1" customWidth="1"/>
    <col min="7183" max="7183" width="1.7109375" style="296" customWidth="1"/>
    <col min="7184" max="7184" width="51" style="296" bestFit="1" customWidth="1"/>
    <col min="7185" max="7185" width="1.7109375" style="296" customWidth="1"/>
    <col min="7186" max="7186" width="4.7109375" style="296" bestFit="1" customWidth="1"/>
    <col min="7187" max="7187" width="1.7109375" style="296" customWidth="1"/>
    <col min="7188" max="7188" width="13.7109375" style="296" customWidth="1"/>
    <col min="7189" max="7189" width="1.7109375" style="296" customWidth="1"/>
    <col min="7190" max="7190" width="13.7109375" style="296" customWidth="1"/>
    <col min="7191" max="7424" width="2.28515625" style="296"/>
    <col min="7425" max="7425" width="4.140625" style="296" bestFit="1" customWidth="1"/>
    <col min="7426" max="7426" width="1.7109375" style="296" customWidth="1"/>
    <col min="7427" max="7427" width="38" style="296" bestFit="1" customWidth="1"/>
    <col min="7428" max="7428" width="1.7109375" style="296" customWidth="1"/>
    <col min="7429" max="7429" width="4.7109375" style="296" bestFit="1" customWidth="1"/>
    <col min="7430" max="7430" width="1.7109375" style="296" customWidth="1"/>
    <col min="7431" max="7431" width="13.7109375" style="296" customWidth="1"/>
    <col min="7432" max="7432" width="1.7109375" style="296" customWidth="1"/>
    <col min="7433" max="7433" width="13.7109375" style="296" customWidth="1"/>
    <col min="7434" max="7434" width="1.7109375" style="296" customWidth="1"/>
    <col min="7435" max="7435" width="13.7109375" style="296" customWidth="1"/>
    <col min="7436" max="7436" width="1.7109375" style="296" customWidth="1"/>
    <col min="7437" max="7437" width="13.7109375" style="296" customWidth="1"/>
    <col min="7438" max="7438" width="3.5703125" style="296" bestFit="1" customWidth="1"/>
    <col min="7439" max="7439" width="1.7109375" style="296" customWidth="1"/>
    <col min="7440" max="7440" width="51" style="296" bestFit="1" customWidth="1"/>
    <col min="7441" max="7441" width="1.7109375" style="296" customWidth="1"/>
    <col min="7442" max="7442" width="4.7109375" style="296" bestFit="1" customWidth="1"/>
    <col min="7443" max="7443" width="1.7109375" style="296" customWidth="1"/>
    <col min="7444" max="7444" width="13.7109375" style="296" customWidth="1"/>
    <col min="7445" max="7445" width="1.7109375" style="296" customWidth="1"/>
    <col min="7446" max="7446" width="13.7109375" style="296" customWidth="1"/>
    <col min="7447" max="7680" width="2.28515625" style="296"/>
    <col min="7681" max="7681" width="4.140625" style="296" bestFit="1" customWidth="1"/>
    <col min="7682" max="7682" width="1.7109375" style="296" customWidth="1"/>
    <col min="7683" max="7683" width="38" style="296" bestFit="1" customWidth="1"/>
    <col min="7684" max="7684" width="1.7109375" style="296" customWidth="1"/>
    <col min="7685" max="7685" width="4.7109375" style="296" bestFit="1" customWidth="1"/>
    <col min="7686" max="7686" width="1.7109375" style="296" customWidth="1"/>
    <col min="7687" max="7687" width="13.7109375" style="296" customWidth="1"/>
    <col min="7688" max="7688" width="1.7109375" style="296" customWidth="1"/>
    <col min="7689" max="7689" width="13.7109375" style="296" customWidth="1"/>
    <col min="7690" max="7690" width="1.7109375" style="296" customWidth="1"/>
    <col min="7691" max="7691" width="13.7109375" style="296" customWidth="1"/>
    <col min="7692" max="7692" width="1.7109375" style="296" customWidth="1"/>
    <col min="7693" max="7693" width="13.7109375" style="296" customWidth="1"/>
    <col min="7694" max="7694" width="3.5703125" style="296" bestFit="1" customWidth="1"/>
    <col min="7695" max="7695" width="1.7109375" style="296" customWidth="1"/>
    <col min="7696" max="7696" width="51" style="296" bestFit="1" customWidth="1"/>
    <col min="7697" max="7697" width="1.7109375" style="296" customWidth="1"/>
    <col min="7698" max="7698" width="4.7109375" style="296" bestFit="1" customWidth="1"/>
    <col min="7699" max="7699" width="1.7109375" style="296" customWidth="1"/>
    <col min="7700" max="7700" width="13.7109375" style="296" customWidth="1"/>
    <col min="7701" max="7701" width="1.7109375" style="296" customWidth="1"/>
    <col min="7702" max="7702" width="13.7109375" style="296" customWidth="1"/>
    <col min="7703" max="7936" width="2.28515625" style="296"/>
    <col min="7937" max="7937" width="4.140625" style="296" bestFit="1" customWidth="1"/>
    <col min="7938" max="7938" width="1.7109375" style="296" customWidth="1"/>
    <col min="7939" max="7939" width="38" style="296" bestFit="1" customWidth="1"/>
    <col min="7940" max="7940" width="1.7109375" style="296" customWidth="1"/>
    <col min="7941" max="7941" width="4.7109375" style="296" bestFit="1" customWidth="1"/>
    <col min="7942" max="7942" width="1.7109375" style="296" customWidth="1"/>
    <col min="7943" max="7943" width="13.7109375" style="296" customWidth="1"/>
    <col min="7944" max="7944" width="1.7109375" style="296" customWidth="1"/>
    <col min="7945" max="7945" width="13.7109375" style="296" customWidth="1"/>
    <col min="7946" max="7946" width="1.7109375" style="296" customWidth="1"/>
    <col min="7947" max="7947" width="13.7109375" style="296" customWidth="1"/>
    <col min="7948" max="7948" width="1.7109375" style="296" customWidth="1"/>
    <col min="7949" max="7949" width="13.7109375" style="296" customWidth="1"/>
    <col min="7950" max="7950" width="3.5703125" style="296" bestFit="1" customWidth="1"/>
    <col min="7951" max="7951" width="1.7109375" style="296" customWidth="1"/>
    <col min="7952" max="7952" width="51" style="296" bestFit="1" customWidth="1"/>
    <col min="7953" max="7953" width="1.7109375" style="296" customWidth="1"/>
    <col min="7954" max="7954" width="4.7109375" style="296" bestFit="1" customWidth="1"/>
    <col min="7955" max="7955" width="1.7109375" style="296" customWidth="1"/>
    <col min="7956" max="7956" width="13.7109375" style="296" customWidth="1"/>
    <col min="7957" max="7957" width="1.7109375" style="296" customWidth="1"/>
    <col min="7958" max="7958" width="13.7109375" style="296" customWidth="1"/>
    <col min="7959" max="8192" width="2.28515625" style="296"/>
    <col min="8193" max="8193" width="4.140625" style="296" bestFit="1" customWidth="1"/>
    <col min="8194" max="8194" width="1.7109375" style="296" customWidth="1"/>
    <col min="8195" max="8195" width="38" style="296" bestFit="1" customWidth="1"/>
    <col min="8196" max="8196" width="1.7109375" style="296" customWidth="1"/>
    <col min="8197" max="8197" width="4.7109375" style="296" bestFit="1" customWidth="1"/>
    <col min="8198" max="8198" width="1.7109375" style="296" customWidth="1"/>
    <col min="8199" max="8199" width="13.7109375" style="296" customWidth="1"/>
    <col min="8200" max="8200" width="1.7109375" style="296" customWidth="1"/>
    <col min="8201" max="8201" width="13.7109375" style="296" customWidth="1"/>
    <col min="8202" max="8202" width="1.7109375" style="296" customWidth="1"/>
    <col min="8203" max="8203" width="13.7109375" style="296" customWidth="1"/>
    <col min="8204" max="8204" width="1.7109375" style="296" customWidth="1"/>
    <col min="8205" max="8205" width="13.7109375" style="296" customWidth="1"/>
    <col min="8206" max="8206" width="3.5703125" style="296" bestFit="1" customWidth="1"/>
    <col min="8207" max="8207" width="1.7109375" style="296" customWidth="1"/>
    <col min="8208" max="8208" width="51" style="296" bestFit="1" customWidth="1"/>
    <col min="8209" max="8209" width="1.7109375" style="296" customWidth="1"/>
    <col min="8210" max="8210" width="4.7109375" style="296" bestFit="1" customWidth="1"/>
    <col min="8211" max="8211" width="1.7109375" style="296" customWidth="1"/>
    <col min="8212" max="8212" width="13.7109375" style="296" customWidth="1"/>
    <col min="8213" max="8213" width="1.7109375" style="296" customWidth="1"/>
    <col min="8214" max="8214" width="13.7109375" style="296" customWidth="1"/>
    <col min="8215" max="8448" width="2.28515625" style="296"/>
    <col min="8449" max="8449" width="4.140625" style="296" bestFit="1" customWidth="1"/>
    <col min="8450" max="8450" width="1.7109375" style="296" customWidth="1"/>
    <col min="8451" max="8451" width="38" style="296" bestFit="1" customWidth="1"/>
    <col min="8452" max="8452" width="1.7109375" style="296" customWidth="1"/>
    <col min="8453" max="8453" width="4.7109375" style="296" bestFit="1" customWidth="1"/>
    <col min="8454" max="8454" width="1.7109375" style="296" customWidth="1"/>
    <col min="8455" max="8455" width="13.7109375" style="296" customWidth="1"/>
    <col min="8456" max="8456" width="1.7109375" style="296" customWidth="1"/>
    <col min="8457" max="8457" width="13.7109375" style="296" customWidth="1"/>
    <col min="8458" max="8458" width="1.7109375" style="296" customWidth="1"/>
    <col min="8459" max="8459" width="13.7109375" style="296" customWidth="1"/>
    <col min="8460" max="8460" width="1.7109375" style="296" customWidth="1"/>
    <col min="8461" max="8461" width="13.7109375" style="296" customWidth="1"/>
    <col min="8462" max="8462" width="3.5703125" style="296" bestFit="1" customWidth="1"/>
    <col min="8463" max="8463" width="1.7109375" style="296" customWidth="1"/>
    <col min="8464" max="8464" width="51" style="296" bestFit="1" customWidth="1"/>
    <col min="8465" max="8465" width="1.7109375" style="296" customWidth="1"/>
    <col min="8466" max="8466" width="4.7109375" style="296" bestFit="1" customWidth="1"/>
    <col min="8467" max="8467" width="1.7109375" style="296" customWidth="1"/>
    <col min="8468" max="8468" width="13.7109375" style="296" customWidth="1"/>
    <col min="8469" max="8469" width="1.7109375" style="296" customWidth="1"/>
    <col min="8470" max="8470" width="13.7109375" style="296" customWidth="1"/>
    <col min="8471" max="8704" width="2.28515625" style="296"/>
    <col min="8705" max="8705" width="4.140625" style="296" bestFit="1" customWidth="1"/>
    <col min="8706" max="8706" width="1.7109375" style="296" customWidth="1"/>
    <col min="8707" max="8707" width="38" style="296" bestFit="1" customWidth="1"/>
    <col min="8708" max="8708" width="1.7109375" style="296" customWidth="1"/>
    <col min="8709" max="8709" width="4.7109375" style="296" bestFit="1" customWidth="1"/>
    <col min="8710" max="8710" width="1.7109375" style="296" customWidth="1"/>
    <col min="8711" max="8711" width="13.7109375" style="296" customWidth="1"/>
    <col min="8712" max="8712" width="1.7109375" style="296" customWidth="1"/>
    <col min="8713" max="8713" width="13.7109375" style="296" customWidth="1"/>
    <col min="8714" max="8714" width="1.7109375" style="296" customWidth="1"/>
    <col min="8715" max="8715" width="13.7109375" style="296" customWidth="1"/>
    <col min="8716" max="8716" width="1.7109375" style="296" customWidth="1"/>
    <col min="8717" max="8717" width="13.7109375" style="296" customWidth="1"/>
    <col min="8718" max="8718" width="3.5703125" style="296" bestFit="1" customWidth="1"/>
    <col min="8719" max="8719" width="1.7109375" style="296" customWidth="1"/>
    <col min="8720" max="8720" width="51" style="296" bestFit="1" customWidth="1"/>
    <col min="8721" max="8721" width="1.7109375" style="296" customWidth="1"/>
    <col min="8722" max="8722" width="4.7109375" style="296" bestFit="1" customWidth="1"/>
    <col min="8723" max="8723" width="1.7109375" style="296" customWidth="1"/>
    <col min="8724" max="8724" width="13.7109375" style="296" customWidth="1"/>
    <col min="8725" max="8725" width="1.7109375" style="296" customWidth="1"/>
    <col min="8726" max="8726" width="13.7109375" style="296" customWidth="1"/>
    <col min="8727" max="8960" width="2.28515625" style="296"/>
    <col min="8961" max="8961" width="4.140625" style="296" bestFit="1" customWidth="1"/>
    <col min="8962" max="8962" width="1.7109375" style="296" customWidth="1"/>
    <col min="8963" max="8963" width="38" style="296" bestFit="1" customWidth="1"/>
    <col min="8964" max="8964" width="1.7109375" style="296" customWidth="1"/>
    <col min="8965" max="8965" width="4.7109375" style="296" bestFit="1" customWidth="1"/>
    <col min="8966" max="8966" width="1.7109375" style="296" customWidth="1"/>
    <col min="8967" max="8967" width="13.7109375" style="296" customWidth="1"/>
    <col min="8968" max="8968" width="1.7109375" style="296" customWidth="1"/>
    <col min="8969" max="8969" width="13.7109375" style="296" customWidth="1"/>
    <col min="8970" max="8970" width="1.7109375" style="296" customWidth="1"/>
    <col min="8971" max="8971" width="13.7109375" style="296" customWidth="1"/>
    <col min="8972" max="8972" width="1.7109375" style="296" customWidth="1"/>
    <col min="8973" max="8973" width="13.7109375" style="296" customWidth="1"/>
    <col min="8974" max="8974" width="3.5703125" style="296" bestFit="1" customWidth="1"/>
    <col min="8975" max="8975" width="1.7109375" style="296" customWidth="1"/>
    <col min="8976" max="8976" width="51" style="296" bestFit="1" customWidth="1"/>
    <col min="8977" max="8977" width="1.7109375" style="296" customWidth="1"/>
    <col min="8978" max="8978" width="4.7109375" style="296" bestFit="1" customWidth="1"/>
    <col min="8979" max="8979" width="1.7109375" style="296" customWidth="1"/>
    <col min="8980" max="8980" width="13.7109375" style="296" customWidth="1"/>
    <col min="8981" max="8981" width="1.7109375" style="296" customWidth="1"/>
    <col min="8982" max="8982" width="13.7109375" style="296" customWidth="1"/>
    <col min="8983" max="9216" width="2.28515625" style="296"/>
    <col min="9217" max="9217" width="4.140625" style="296" bestFit="1" customWidth="1"/>
    <col min="9218" max="9218" width="1.7109375" style="296" customWidth="1"/>
    <col min="9219" max="9219" width="38" style="296" bestFit="1" customWidth="1"/>
    <col min="9220" max="9220" width="1.7109375" style="296" customWidth="1"/>
    <col min="9221" max="9221" width="4.7109375" style="296" bestFit="1" customWidth="1"/>
    <col min="9222" max="9222" width="1.7109375" style="296" customWidth="1"/>
    <col min="9223" max="9223" width="13.7109375" style="296" customWidth="1"/>
    <col min="9224" max="9224" width="1.7109375" style="296" customWidth="1"/>
    <col min="9225" max="9225" width="13.7109375" style="296" customWidth="1"/>
    <col min="9226" max="9226" width="1.7109375" style="296" customWidth="1"/>
    <col min="9227" max="9227" width="13.7109375" style="296" customWidth="1"/>
    <col min="9228" max="9228" width="1.7109375" style="296" customWidth="1"/>
    <col min="9229" max="9229" width="13.7109375" style="296" customWidth="1"/>
    <col min="9230" max="9230" width="3.5703125" style="296" bestFit="1" customWidth="1"/>
    <col min="9231" max="9231" width="1.7109375" style="296" customWidth="1"/>
    <col min="9232" max="9232" width="51" style="296" bestFit="1" customWidth="1"/>
    <col min="9233" max="9233" width="1.7109375" style="296" customWidth="1"/>
    <col min="9234" max="9234" width="4.7109375" style="296" bestFit="1" customWidth="1"/>
    <col min="9235" max="9235" width="1.7109375" style="296" customWidth="1"/>
    <col min="9236" max="9236" width="13.7109375" style="296" customWidth="1"/>
    <col min="9237" max="9237" width="1.7109375" style="296" customWidth="1"/>
    <col min="9238" max="9238" width="13.7109375" style="296" customWidth="1"/>
    <col min="9239" max="9472" width="2.28515625" style="296"/>
    <col min="9473" max="9473" width="4.140625" style="296" bestFit="1" customWidth="1"/>
    <col min="9474" max="9474" width="1.7109375" style="296" customWidth="1"/>
    <col min="9475" max="9475" width="38" style="296" bestFit="1" customWidth="1"/>
    <col min="9476" max="9476" width="1.7109375" style="296" customWidth="1"/>
    <col min="9477" max="9477" width="4.7109375" style="296" bestFit="1" customWidth="1"/>
    <col min="9478" max="9478" width="1.7109375" style="296" customWidth="1"/>
    <col min="9479" max="9479" width="13.7109375" style="296" customWidth="1"/>
    <col min="9480" max="9480" width="1.7109375" style="296" customWidth="1"/>
    <col min="9481" max="9481" width="13.7109375" style="296" customWidth="1"/>
    <col min="9482" max="9482" width="1.7109375" style="296" customWidth="1"/>
    <col min="9483" max="9483" width="13.7109375" style="296" customWidth="1"/>
    <col min="9484" max="9484" width="1.7109375" style="296" customWidth="1"/>
    <col min="9485" max="9485" width="13.7109375" style="296" customWidth="1"/>
    <col min="9486" max="9486" width="3.5703125" style="296" bestFit="1" customWidth="1"/>
    <col min="9487" max="9487" width="1.7109375" style="296" customWidth="1"/>
    <col min="9488" max="9488" width="51" style="296" bestFit="1" customWidth="1"/>
    <col min="9489" max="9489" width="1.7109375" style="296" customWidth="1"/>
    <col min="9490" max="9490" width="4.7109375" style="296" bestFit="1" customWidth="1"/>
    <col min="9491" max="9491" width="1.7109375" style="296" customWidth="1"/>
    <col min="9492" max="9492" width="13.7109375" style="296" customWidth="1"/>
    <col min="9493" max="9493" width="1.7109375" style="296" customWidth="1"/>
    <col min="9494" max="9494" width="13.7109375" style="296" customWidth="1"/>
    <col min="9495" max="9728" width="2.28515625" style="296"/>
    <col min="9729" max="9729" width="4.140625" style="296" bestFit="1" customWidth="1"/>
    <col min="9730" max="9730" width="1.7109375" style="296" customWidth="1"/>
    <col min="9731" max="9731" width="38" style="296" bestFit="1" customWidth="1"/>
    <col min="9732" max="9732" width="1.7109375" style="296" customWidth="1"/>
    <col min="9733" max="9733" width="4.7109375" style="296" bestFit="1" customWidth="1"/>
    <col min="9734" max="9734" width="1.7109375" style="296" customWidth="1"/>
    <col min="9735" max="9735" width="13.7109375" style="296" customWidth="1"/>
    <col min="9736" max="9736" width="1.7109375" style="296" customWidth="1"/>
    <col min="9737" max="9737" width="13.7109375" style="296" customWidth="1"/>
    <col min="9738" max="9738" width="1.7109375" style="296" customWidth="1"/>
    <col min="9739" max="9739" width="13.7109375" style="296" customWidth="1"/>
    <col min="9740" max="9740" width="1.7109375" style="296" customWidth="1"/>
    <col min="9741" max="9741" width="13.7109375" style="296" customWidth="1"/>
    <col min="9742" max="9742" width="3.5703125" style="296" bestFit="1" customWidth="1"/>
    <col min="9743" max="9743" width="1.7109375" style="296" customWidth="1"/>
    <col min="9744" max="9744" width="51" style="296" bestFit="1" customWidth="1"/>
    <col min="9745" max="9745" width="1.7109375" style="296" customWidth="1"/>
    <col min="9746" max="9746" width="4.7109375" style="296" bestFit="1" customWidth="1"/>
    <col min="9747" max="9747" width="1.7109375" style="296" customWidth="1"/>
    <col min="9748" max="9748" width="13.7109375" style="296" customWidth="1"/>
    <col min="9749" max="9749" width="1.7109375" style="296" customWidth="1"/>
    <col min="9750" max="9750" width="13.7109375" style="296" customWidth="1"/>
    <col min="9751" max="9984" width="2.28515625" style="296"/>
    <col min="9985" max="9985" width="4.140625" style="296" bestFit="1" customWidth="1"/>
    <col min="9986" max="9986" width="1.7109375" style="296" customWidth="1"/>
    <col min="9987" max="9987" width="38" style="296" bestFit="1" customWidth="1"/>
    <col min="9988" max="9988" width="1.7109375" style="296" customWidth="1"/>
    <col min="9989" max="9989" width="4.7109375" style="296" bestFit="1" customWidth="1"/>
    <col min="9990" max="9990" width="1.7109375" style="296" customWidth="1"/>
    <col min="9991" max="9991" width="13.7109375" style="296" customWidth="1"/>
    <col min="9992" max="9992" width="1.7109375" style="296" customWidth="1"/>
    <col min="9993" max="9993" width="13.7109375" style="296" customWidth="1"/>
    <col min="9994" max="9994" width="1.7109375" style="296" customWidth="1"/>
    <col min="9995" max="9995" width="13.7109375" style="296" customWidth="1"/>
    <col min="9996" max="9996" width="1.7109375" style="296" customWidth="1"/>
    <col min="9997" max="9997" width="13.7109375" style="296" customWidth="1"/>
    <col min="9998" max="9998" width="3.5703125" style="296" bestFit="1" customWidth="1"/>
    <col min="9999" max="9999" width="1.7109375" style="296" customWidth="1"/>
    <col min="10000" max="10000" width="51" style="296" bestFit="1" customWidth="1"/>
    <col min="10001" max="10001" width="1.7109375" style="296" customWidth="1"/>
    <col min="10002" max="10002" width="4.7109375" style="296" bestFit="1" customWidth="1"/>
    <col min="10003" max="10003" width="1.7109375" style="296" customWidth="1"/>
    <col min="10004" max="10004" width="13.7109375" style="296" customWidth="1"/>
    <col min="10005" max="10005" width="1.7109375" style="296" customWidth="1"/>
    <col min="10006" max="10006" width="13.7109375" style="296" customWidth="1"/>
    <col min="10007" max="10240" width="2.28515625" style="296"/>
    <col min="10241" max="10241" width="4.140625" style="296" bestFit="1" customWidth="1"/>
    <col min="10242" max="10242" width="1.7109375" style="296" customWidth="1"/>
    <col min="10243" max="10243" width="38" style="296" bestFit="1" customWidth="1"/>
    <col min="10244" max="10244" width="1.7109375" style="296" customWidth="1"/>
    <col min="10245" max="10245" width="4.7109375" style="296" bestFit="1" customWidth="1"/>
    <col min="10246" max="10246" width="1.7109375" style="296" customWidth="1"/>
    <col min="10247" max="10247" width="13.7109375" style="296" customWidth="1"/>
    <col min="10248" max="10248" width="1.7109375" style="296" customWidth="1"/>
    <col min="10249" max="10249" width="13.7109375" style="296" customWidth="1"/>
    <col min="10250" max="10250" width="1.7109375" style="296" customWidth="1"/>
    <col min="10251" max="10251" width="13.7109375" style="296" customWidth="1"/>
    <col min="10252" max="10252" width="1.7109375" style="296" customWidth="1"/>
    <col min="10253" max="10253" width="13.7109375" style="296" customWidth="1"/>
    <col min="10254" max="10254" width="3.5703125" style="296" bestFit="1" customWidth="1"/>
    <col min="10255" max="10255" width="1.7109375" style="296" customWidth="1"/>
    <col min="10256" max="10256" width="51" style="296" bestFit="1" customWidth="1"/>
    <col min="10257" max="10257" width="1.7109375" style="296" customWidth="1"/>
    <col min="10258" max="10258" width="4.7109375" style="296" bestFit="1" customWidth="1"/>
    <col min="10259" max="10259" width="1.7109375" style="296" customWidth="1"/>
    <col min="10260" max="10260" width="13.7109375" style="296" customWidth="1"/>
    <col min="10261" max="10261" width="1.7109375" style="296" customWidth="1"/>
    <col min="10262" max="10262" width="13.7109375" style="296" customWidth="1"/>
    <col min="10263" max="10496" width="2.28515625" style="296"/>
    <col min="10497" max="10497" width="4.140625" style="296" bestFit="1" customWidth="1"/>
    <col min="10498" max="10498" width="1.7109375" style="296" customWidth="1"/>
    <col min="10499" max="10499" width="38" style="296" bestFit="1" customWidth="1"/>
    <col min="10500" max="10500" width="1.7109375" style="296" customWidth="1"/>
    <col min="10501" max="10501" width="4.7109375" style="296" bestFit="1" customWidth="1"/>
    <col min="10502" max="10502" width="1.7109375" style="296" customWidth="1"/>
    <col min="10503" max="10503" width="13.7109375" style="296" customWidth="1"/>
    <col min="10504" max="10504" width="1.7109375" style="296" customWidth="1"/>
    <col min="10505" max="10505" width="13.7109375" style="296" customWidth="1"/>
    <col min="10506" max="10506" width="1.7109375" style="296" customWidth="1"/>
    <col min="10507" max="10507" width="13.7109375" style="296" customWidth="1"/>
    <col min="10508" max="10508" width="1.7109375" style="296" customWidth="1"/>
    <col min="10509" max="10509" width="13.7109375" style="296" customWidth="1"/>
    <col min="10510" max="10510" width="3.5703125" style="296" bestFit="1" customWidth="1"/>
    <col min="10511" max="10511" width="1.7109375" style="296" customWidth="1"/>
    <col min="10512" max="10512" width="51" style="296" bestFit="1" customWidth="1"/>
    <col min="10513" max="10513" width="1.7109375" style="296" customWidth="1"/>
    <col min="10514" max="10514" width="4.7109375" style="296" bestFit="1" customWidth="1"/>
    <col min="10515" max="10515" width="1.7109375" style="296" customWidth="1"/>
    <col min="10516" max="10516" width="13.7109375" style="296" customWidth="1"/>
    <col min="10517" max="10517" width="1.7109375" style="296" customWidth="1"/>
    <col min="10518" max="10518" width="13.7109375" style="296" customWidth="1"/>
    <col min="10519" max="10752" width="2.28515625" style="296"/>
    <col min="10753" max="10753" width="4.140625" style="296" bestFit="1" customWidth="1"/>
    <col min="10754" max="10754" width="1.7109375" style="296" customWidth="1"/>
    <col min="10755" max="10755" width="38" style="296" bestFit="1" customWidth="1"/>
    <col min="10756" max="10756" width="1.7109375" style="296" customWidth="1"/>
    <col min="10757" max="10757" width="4.7109375" style="296" bestFit="1" customWidth="1"/>
    <col min="10758" max="10758" width="1.7109375" style="296" customWidth="1"/>
    <col min="10759" max="10759" width="13.7109375" style="296" customWidth="1"/>
    <col min="10760" max="10760" width="1.7109375" style="296" customWidth="1"/>
    <col min="10761" max="10761" width="13.7109375" style="296" customWidth="1"/>
    <col min="10762" max="10762" width="1.7109375" style="296" customWidth="1"/>
    <col min="10763" max="10763" width="13.7109375" style="296" customWidth="1"/>
    <col min="10764" max="10764" width="1.7109375" style="296" customWidth="1"/>
    <col min="10765" max="10765" width="13.7109375" style="296" customWidth="1"/>
    <col min="10766" max="10766" width="3.5703125" style="296" bestFit="1" customWidth="1"/>
    <col min="10767" max="10767" width="1.7109375" style="296" customWidth="1"/>
    <col min="10768" max="10768" width="51" style="296" bestFit="1" customWidth="1"/>
    <col min="10769" max="10769" width="1.7109375" style="296" customWidth="1"/>
    <col min="10770" max="10770" width="4.7109375" style="296" bestFit="1" customWidth="1"/>
    <col min="10771" max="10771" width="1.7109375" style="296" customWidth="1"/>
    <col min="10772" max="10772" width="13.7109375" style="296" customWidth="1"/>
    <col min="10773" max="10773" width="1.7109375" style="296" customWidth="1"/>
    <col min="10774" max="10774" width="13.7109375" style="296" customWidth="1"/>
    <col min="10775" max="11008" width="2.28515625" style="296"/>
    <col min="11009" max="11009" width="4.140625" style="296" bestFit="1" customWidth="1"/>
    <col min="11010" max="11010" width="1.7109375" style="296" customWidth="1"/>
    <col min="11011" max="11011" width="38" style="296" bestFit="1" customWidth="1"/>
    <col min="11012" max="11012" width="1.7109375" style="296" customWidth="1"/>
    <col min="11013" max="11013" width="4.7109375" style="296" bestFit="1" customWidth="1"/>
    <col min="11014" max="11014" width="1.7109375" style="296" customWidth="1"/>
    <col min="11015" max="11015" width="13.7109375" style="296" customWidth="1"/>
    <col min="11016" max="11016" width="1.7109375" style="296" customWidth="1"/>
    <col min="11017" max="11017" width="13.7109375" style="296" customWidth="1"/>
    <col min="11018" max="11018" width="1.7109375" style="296" customWidth="1"/>
    <col min="11019" max="11019" width="13.7109375" style="296" customWidth="1"/>
    <col min="11020" max="11020" width="1.7109375" style="296" customWidth="1"/>
    <col min="11021" max="11021" width="13.7109375" style="296" customWidth="1"/>
    <col min="11022" max="11022" width="3.5703125" style="296" bestFit="1" customWidth="1"/>
    <col min="11023" max="11023" width="1.7109375" style="296" customWidth="1"/>
    <col min="11024" max="11024" width="51" style="296" bestFit="1" customWidth="1"/>
    <col min="11025" max="11025" width="1.7109375" style="296" customWidth="1"/>
    <col min="11026" max="11026" width="4.7109375" style="296" bestFit="1" customWidth="1"/>
    <col min="11027" max="11027" width="1.7109375" style="296" customWidth="1"/>
    <col min="11028" max="11028" width="13.7109375" style="296" customWidth="1"/>
    <col min="11029" max="11029" width="1.7109375" style="296" customWidth="1"/>
    <col min="11030" max="11030" width="13.7109375" style="296" customWidth="1"/>
    <col min="11031" max="11264" width="2.28515625" style="296"/>
    <col min="11265" max="11265" width="4.140625" style="296" bestFit="1" customWidth="1"/>
    <col min="11266" max="11266" width="1.7109375" style="296" customWidth="1"/>
    <col min="11267" max="11267" width="38" style="296" bestFit="1" customWidth="1"/>
    <col min="11268" max="11268" width="1.7109375" style="296" customWidth="1"/>
    <col min="11269" max="11269" width="4.7109375" style="296" bestFit="1" customWidth="1"/>
    <col min="11270" max="11270" width="1.7109375" style="296" customWidth="1"/>
    <col min="11271" max="11271" width="13.7109375" style="296" customWidth="1"/>
    <col min="11272" max="11272" width="1.7109375" style="296" customWidth="1"/>
    <col min="11273" max="11273" width="13.7109375" style="296" customWidth="1"/>
    <col min="11274" max="11274" width="1.7109375" style="296" customWidth="1"/>
    <col min="11275" max="11275" width="13.7109375" style="296" customWidth="1"/>
    <col min="11276" max="11276" width="1.7109375" style="296" customWidth="1"/>
    <col min="11277" max="11277" width="13.7109375" style="296" customWidth="1"/>
    <col min="11278" max="11278" width="3.5703125" style="296" bestFit="1" customWidth="1"/>
    <col min="11279" max="11279" width="1.7109375" style="296" customWidth="1"/>
    <col min="11280" max="11280" width="51" style="296" bestFit="1" customWidth="1"/>
    <col min="11281" max="11281" width="1.7109375" style="296" customWidth="1"/>
    <col min="11282" max="11282" width="4.7109375" style="296" bestFit="1" customWidth="1"/>
    <col min="11283" max="11283" width="1.7109375" style="296" customWidth="1"/>
    <col min="11284" max="11284" width="13.7109375" style="296" customWidth="1"/>
    <col min="11285" max="11285" width="1.7109375" style="296" customWidth="1"/>
    <col min="11286" max="11286" width="13.7109375" style="296" customWidth="1"/>
    <col min="11287" max="11520" width="2.28515625" style="296"/>
    <col min="11521" max="11521" width="4.140625" style="296" bestFit="1" customWidth="1"/>
    <col min="11522" max="11522" width="1.7109375" style="296" customWidth="1"/>
    <col min="11523" max="11523" width="38" style="296" bestFit="1" customWidth="1"/>
    <col min="11524" max="11524" width="1.7109375" style="296" customWidth="1"/>
    <col min="11525" max="11525" width="4.7109375" style="296" bestFit="1" customWidth="1"/>
    <col min="11526" max="11526" width="1.7109375" style="296" customWidth="1"/>
    <col min="11527" max="11527" width="13.7109375" style="296" customWidth="1"/>
    <col min="11528" max="11528" width="1.7109375" style="296" customWidth="1"/>
    <col min="11529" max="11529" width="13.7109375" style="296" customWidth="1"/>
    <col min="11530" max="11530" width="1.7109375" style="296" customWidth="1"/>
    <col min="11531" max="11531" width="13.7109375" style="296" customWidth="1"/>
    <col min="11532" max="11532" width="1.7109375" style="296" customWidth="1"/>
    <col min="11533" max="11533" width="13.7109375" style="296" customWidth="1"/>
    <col min="11534" max="11534" width="3.5703125" style="296" bestFit="1" customWidth="1"/>
    <col min="11535" max="11535" width="1.7109375" style="296" customWidth="1"/>
    <col min="11536" max="11536" width="51" style="296" bestFit="1" customWidth="1"/>
    <col min="11537" max="11537" width="1.7109375" style="296" customWidth="1"/>
    <col min="11538" max="11538" width="4.7109375" style="296" bestFit="1" customWidth="1"/>
    <col min="11539" max="11539" width="1.7109375" style="296" customWidth="1"/>
    <col min="11540" max="11540" width="13.7109375" style="296" customWidth="1"/>
    <col min="11541" max="11541" width="1.7109375" style="296" customWidth="1"/>
    <col min="11542" max="11542" width="13.7109375" style="296" customWidth="1"/>
    <col min="11543" max="11776" width="2.28515625" style="296"/>
    <col min="11777" max="11777" width="4.140625" style="296" bestFit="1" customWidth="1"/>
    <col min="11778" max="11778" width="1.7109375" style="296" customWidth="1"/>
    <col min="11779" max="11779" width="38" style="296" bestFit="1" customWidth="1"/>
    <col min="11780" max="11780" width="1.7109375" style="296" customWidth="1"/>
    <col min="11781" max="11781" width="4.7109375" style="296" bestFit="1" customWidth="1"/>
    <col min="11782" max="11782" width="1.7109375" style="296" customWidth="1"/>
    <col min="11783" max="11783" width="13.7109375" style="296" customWidth="1"/>
    <col min="11784" max="11784" width="1.7109375" style="296" customWidth="1"/>
    <col min="11785" max="11785" width="13.7109375" style="296" customWidth="1"/>
    <col min="11786" max="11786" width="1.7109375" style="296" customWidth="1"/>
    <col min="11787" max="11787" width="13.7109375" style="296" customWidth="1"/>
    <col min="11788" max="11788" width="1.7109375" style="296" customWidth="1"/>
    <col min="11789" max="11789" width="13.7109375" style="296" customWidth="1"/>
    <col min="11790" max="11790" width="3.5703125" style="296" bestFit="1" customWidth="1"/>
    <col min="11791" max="11791" width="1.7109375" style="296" customWidth="1"/>
    <col min="11792" max="11792" width="51" style="296" bestFit="1" customWidth="1"/>
    <col min="11793" max="11793" width="1.7109375" style="296" customWidth="1"/>
    <col min="11794" max="11794" width="4.7109375" style="296" bestFit="1" customWidth="1"/>
    <col min="11795" max="11795" width="1.7109375" style="296" customWidth="1"/>
    <col min="11796" max="11796" width="13.7109375" style="296" customWidth="1"/>
    <col min="11797" max="11797" width="1.7109375" style="296" customWidth="1"/>
    <col min="11798" max="11798" width="13.7109375" style="296" customWidth="1"/>
    <col min="11799" max="12032" width="2.28515625" style="296"/>
    <col min="12033" max="12033" width="4.140625" style="296" bestFit="1" customWidth="1"/>
    <col min="12034" max="12034" width="1.7109375" style="296" customWidth="1"/>
    <col min="12035" max="12035" width="38" style="296" bestFit="1" customWidth="1"/>
    <col min="12036" max="12036" width="1.7109375" style="296" customWidth="1"/>
    <col min="12037" max="12037" width="4.7109375" style="296" bestFit="1" customWidth="1"/>
    <col min="12038" max="12038" width="1.7109375" style="296" customWidth="1"/>
    <col min="12039" max="12039" width="13.7109375" style="296" customWidth="1"/>
    <col min="12040" max="12040" width="1.7109375" style="296" customWidth="1"/>
    <col min="12041" max="12041" width="13.7109375" style="296" customWidth="1"/>
    <col min="12042" max="12042" width="1.7109375" style="296" customWidth="1"/>
    <col min="12043" max="12043" width="13.7109375" style="296" customWidth="1"/>
    <col min="12044" max="12044" width="1.7109375" style="296" customWidth="1"/>
    <col min="12045" max="12045" width="13.7109375" style="296" customWidth="1"/>
    <col min="12046" max="12046" width="3.5703125" style="296" bestFit="1" customWidth="1"/>
    <col min="12047" max="12047" width="1.7109375" style="296" customWidth="1"/>
    <col min="12048" max="12048" width="51" style="296" bestFit="1" customWidth="1"/>
    <col min="12049" max="12049" width="1.7109375" style="296" customWidth="1"/>
    <col min="12050" max="12050" width="4.7109375" style="296" bestFit="1" customWidth="1"/>
    <col min="12051" max="12051" width="1.7109375" style="296" customWidth="1"/>
    <col min="12052" max="12052" width="13.7109375" style="296" customWidth="1"/>
    <col min="12053" max="12053" width="1.7109375" style="296" customWidth="1"/>
    <col min="12054" max="12054" width="13.7109375" style="296" customWidth="1"/>
    <col min="12055" max="12288" width="2.28515625" style="296"/>
    <col min="12289" max="12289" width="4.140625" style="296" bestFit="1" customWidth="1"/>
    <col min="12290" max="12290" width="1.7109375" style="296" customWidth="1"/>
    <col min="12291" max="12291" width="38" style="296" bestFit="1" customWidth="1"/>
    <col min="12292" max="12292" width="1.7109375" style="296" customWidth="1"/>
    <col min="12293" max="12293" width="4.7109375" style="296" bestFit="1" customWidth="1"/>
    <col min="12294" max="12294" width="1.7109375" style="296" customWidth="1"/>
    <col min="12295" max="12295" width="13.7109375" style="296" customWidth="1"/>
    <col min="12296" max="12296" width="1.7109375" style="296" customWidth="1"/>
    <col min="12297" max="12297" width="13.7109375" style="296" customWidth="1"/>
    <col min="12298" max="12298" width="1.7109375" style="296" customWidth="1"/>
    <col min="12299" max="12299" width="13.7109375" style="296" customWidth="1"/>
    <col min="12300" max="12300" width="1.7109375" style="296" customWidth="1"/>
    <col min="12301" max="12301" width="13.7109375" style="296" customWidth="1"/>
    <col min="12302" max="12302" width="3.5703125" style="296" bestFit="1" customWidth="1"/>
    <col min="12303" max="12303" width="1.7109375" style="296" customWidth="1"/>
    <col min="12304" max="12304" width="51" style="296" bestFit="1" customWidth="1"/>
    <col min="12305" max="12305" width="1.7109375" style="296" customWidth="1"/>
    <col min="12306" max="12306" width="4.7109375" style="296" bestFit="1" customWidth="1"/>
    <col min="12307" max="12307" width="1.7109375" style="296" customWidth="1"/>
    <col min="12308" max="12308" width="13.7109375" style="296" customWidth="1"/>
    <col min="12309" max="12309" width="1.7109375" style="296" customWidth="1"/>
    <col min="12310" max="12310" width="13.7109375" style="296" customWidth="1"/>
    <col min="12311" max="12544" width="2.28515625" style="296"/>
    <col min="12545" max="12545" width="4.140625" style="296" bestFit="1" customWidth="1"/>
    <col min="12546" max="12546" width="1.7109375" style="296" customWidth="1"/>
    <col min="12547" max="12547" width="38" style="296" bestFit="1" customWidth="1"/>
    <col min="12548" max="12548" width="1.7109375" style="296" customWidth="1"/>
    <col min="12549" max="12549" width="4.7109375" style="296" bestFit="1" customWidth="1"/>
    <col min="12550" max="12550" width="1.7109375" style="296" customWidth="1"/>
    <col min="12551" max="12551" width="13.7109375" style="296" customWidth="1"/>
    <col min="12552" max="12552" width="1.7109375" style="296" customWidth="1"/>
    <col min="12553" max="12553" width="13.7109375" style="296" customWidth="1"/>
    <col min="12554" max="12554" width="1.7109375" style="296" customWidth="1"/>
    <col min="12555" max="12555" width="13.7109375" style="296" customWidth="1"/>
    <col min="12556" max="12556" width="1.7109375" style="296" customWidth="1"/>
    <col min="12557" max="12557" width="13.7109375" style="296" customWidth="1"/>
    <col min="12558" max="12558" width="3.5703125" style="296" bestFit="1" customWidth="1"/>
    <col min="12559" max="12559" width="1.7109375" style="296" customWidth="1"/>
    <col min="12560" max="12560" width="51" style="296" bestFit="1" customWidth="1"/>
    <col min="12561" max="12561" width="1.7109375" style="296" customWidth="1"/>
    <col min="12562" max="12562" width="4.7109375" style="296" bestFit="1" customWidth="1"/>
    <col min="12563" max="12563" width="1.7109375" style="296" customWidth="1"/>
    <col min="12564" max="12564" width="13.7109375" style="296" customWidth="1"/>
    <col min="12565" max="12565" width="1.7109375" style="296" customWidth="1"/>
    <col min="12566" max="12566" width="13.7109375" style="296" customWidth="1"/>
    <col min="12567" max="12800" width="2.28515625" style="296"/>
    <col min="12801" max="12801" width="4.140625" style="296" bestFit="1" customWidth="1"/>
    <col min="12802" max="12802" width="1.7109375" style="296" customWidth="1"/>
    <col min="12803" max="12803" width="38" style="296" bestFit="1" customWidth="1"/>
    <col min="12804" max="12804" width="1.7109375" style="296" customWidth="1"/>
    <col min="12805" max="12805" width="4.7109375" style="296" bestFit="1" customWidth="1"/>
    <col min="12806" max="12806" width="1.7109375" style="296" customWidth="1"/>
    <col min="12807" max="12807" width="13.7109375" style="296" customWidth="1"/>
    <col min="12808" max="12808" width="1.7109375" style="296" customWidth="1"/>
    <col min="12809" max="12809" width="13.7109375" style="296" customWidth="1"/>
    <col min="12810" max="12810" width="1.7109375" style="296" customWidth="1"/>
    <col min="12811" max="12811" width="13.7109375" style="296" customWidth="1"/>
    <col min="12812" max="12812" width="1.7109375" style="296" customWidth="1"/>
    <col min="12813" max="12813" width="13.7109375" style="296" customWidth="1"/>
    <col min="12814" max="12814" width="3.5703125" style="296" bestFit="1" customWidth="1"/>
    <col min="12815" max="12815" width="1.7109375" style="296" customWidth="1"/>
    <col min="12816" max="12816" width="51" style="296" bestFit="1" customWidth="1"/>
    <col min="12817" max="12817" width="1.7109375" style="296" customWidth="1"/>
    <col min="12818" max="12818" width="4.7109375" style="296" bestFit="1" customWidth="1"/>
    <col min="12819" max="12819" width="1.7109375" style="296" customWidth="1"/>
    <col min="12820" max="12820" width="13.7109375" style="296" customWidth="1"/>
    <col min="12821" max="12821" width="1.7109375" style="296" customWidth="1"/>
    <col min="12822" max="12822" width="13.7109375" style="296" customWidth="1"/>
    <col min="12823" max="13056" width="2.28515625" style="296"/>
    <col min="13057" max="13057" width="4.140625" style="296" bestFit="1" customWidth="1"/>
    <col min="13058" max="13058" width="1.7109375" style="296" customWidth="1"/>
    <col min="13059" max="13059" width="38" style="296" bestFit="1" customWidth="1"/>
    <col min="13060" max="13060" width="1.7109375" style="296" customWidth="1"/>
    <col min="13061" max="13061" width="4.7109375" style="296" bestFit="1" customWidth="1"/>
    <col min="13062" max="13062" width="1.7109375" style="296" customWidth="1"/>
    <col min="13063" max="13063" width="13.7109375" style="296" customWidth="1"/>
    <col min="13064" max="13064" width="1.7109375" style="296" customWidth="1"/>
    <col min="13065" max="13065" width="13.7109375" style="296" customWidth="1"/>
    <col min="13066" max="13066" width="1.7109375" style="296" customWidth="1"/>
    <col min="13067" max="13067" width="13.7109375" style="296" customWidth="1"/>
    <col min="13068" max="13068" width="1.7109375" style="296" customWidth="1"/>
    <col min="13069" max="13069" width="13.7109375" style="296" customWidth="1"/>
    <col min="13070" max="13070" width="3.5703125" style="296" bestFit="1" customWidth="1"/>
    <col min="13071" max="13071" width="1.7109375" style="296" customWidth="1"/>
    <col min="13072" max="13072" width="51" style="296" bestFit="1" customWidth="1"/>
    <col min="13073" max="13073" width="1.7109375" style="296" customWidth="1"/>
    <col min="13074" max="13074" width="4.7109375" style="296" bestFit="1" customWidth="1"/>
    <col min="13075" max="13075" width="1.7109375" style="296" customWidth="1"/>
    <col min="13076" max="13076" width="13.7109375" style="296" customWidth="1"/>
    <col min="13077" max="13077" width="1.7109375" style="296" customWidth="1"/>
    <col min="13078" max="13078" width="13.7109375" style="296" customWidth="1"/>
    <col min="13079" max="13312" width="2.28515625" style="296"/>
    <col min="13313" max="13313" width="4.140625" style="296" bestFit="1" customWidth="1"/>
    <col min="13314" max="13314" width="1.7109375" style="296" customWidth="1"/>
    <col min="13315" max="13315" width="38" style="296" bestFit="1" customWidth="1"/>
    <col min="13316" max="13316" width="1.7109375" style="296" customWidth="1"/>
    <col min="13317" max="13317" width="4.7109375" style="296" bestFit="1" customWidth="1"/>
    <col min="13318" max="13318" width="1.7109375" style="296" customWidth="1"/>
    <col min="13319" max="13319" width="13.7109375" style="296" customWidth="1"/>
    <col min="13320" max="13320" width="1.7109375" style="296" customWidth="1"/>
    <col min="13321" max="13321" width="13.7109375" style="296" customWidth="1"/>
    <col min="13322" max="13322" width="1.7109375" style="296" customWidth="1"/>
    <col min="13323" max="13323" width="13.7109375" style="296" customWidth="1"/>
    <col min="13324" max="13324" width="1.7109375" style="296" customWidth="1"/>
    <col min="13325" max="13325" width="13.7109375" style="296" customWidth="1"/>
    <col min="13326" max="13326" width="3.5703125" style="296" bestFit="1" customWidth="1"/>
    <col min="13327" max="13327" width="1.7109375" style="296" customWidth="1"/>
    <col min="13328" max="13328" width="51" style="296" bestFit="1" customWidth="1"/>
    <col min="13329" max="13329" width="1.7109375" style="296" customWidth="1"/>
    <col min="13330" max="13330" width="4.7109375" style="296" bestFit="1" customWidth="1"/>
    <col min="13331" max="13331" width="1.7109375" style="296" customWidth="1"/>
    <col min="13332" max="13332" width="13.7109375" style="296" customWidth="1"/>
    <col min="13333" max="13333" width="1.7109375" style="296" customWidth="1"/>
    <col min="13334" max="13334" width="13.7109375" style="296" customWidth="1"/>
    <col min="13335" max="13568" width="2.28515625" style="296"/>
    <col min="13569" max="13569" width="4.140625" style="296" bestFit="1" customWidth="1"/>
    <col min="13570" max="13570" width="1.7109375" style="296" customWidth="1"/>
    <col min="13571" max="13571" width="38" style="296" bestFit="1" customWidth="1"/>
    <col min="13572" max="13572" width="1.7109375" style="296" customWidth="1"/>
    <col min="13573" max="13573" width="4.7109375" style="296" bestFit="1" customWidth="1"/>
    <col min="13574" max="13574" width="1.7109375" style="296" customWidth="1"/>
    <col min="13575" max="13575" width="13.7109375" style="296" customWidth="1"/>
    <col min="13576" max="13576" width="1.7109375" style="296" customWidth="1"/>
    <col min="13577" max="13577" width="13.7109375" style="296" customWidth="1"/>
    <col min="13578" max="13578" width="1.7109375" style="296" customWidth="1"/>
    <col min="13579" max="13579" width="13.7109375" style="296" customWidth="1"/>
    <col min="13580" max="13580" width="1.7109375" style="296" customWidth="1"/>
    <col min="13581" max="13581" width="13.7109375" style="296" customWidth="1"/>
    <col min="13582" max="13582" width="3.5703125" style="296" bestFit="1" customWidth="1"/>
    <col min="13583" max="13583" width="1.7109375" style="296" customWidth="1"/>
    <col min="13584" max="13584" width="51" style="296" bestFit="1" customWidth="1"/>
    <col min="13585" max="13585" width="1.7109375" style="296" customWidth="1"/>
    <col min="13586" max="13586" width="4.7109375" style="296" bestFit="1" customWidth="1"/>
    <col min="13587" max="13587" width="1.7109375" style="296" customWidth="1"/>
    <col min="13588" max="13588" width="13.7109375" style="296" customWidth="1"/>
    <col min="13589" max="13589" width="1.7109375" style="296" customWidth="1"/>
    <col min="13590" max="13590" width="13.7109375" style="296" customWidth="1"/>
    <col min="13591" max="13824" width="2.28515625" style="296"/>
    <col min="13825" max="13825" width="4.140625" style="296" bestFit="1" customWidth="1"/>
    <col min="13826" max="13826" width="1.7109375" style="296" customWidth="1"/>
    <col min="13827" max="13827" width="38" style="296" bestFit="1" customWidth="1"/>
    <col min="13828" max="13828" width="1.7109375" style="296" customWidth="1"/>
    <col min="13829" max="13829" width="4.7109375" style="296" bestFit="1" customWidth="1"/>
    <col min="13830" max="13830" width="1.7109375" style="296" customWidth="1"/>
    <col min="13831" max="13831" width="13.7109375" style="296" customWidth="1"/>
    <col min="13832" max="13832" width="1.7109375" style="296" customWidth="1"/>
    <col min="13833" max="13833" width="13.7109375" style="296" customWidth="1"/>
    <col min="13834" max="13834" width="1.7109375" style="296" customWidth="1"/>
    <col min="13835" max="13835" width="13.7109375" style="296" customWidth="1"/>
    <col min="13836" max="13836" width="1.7109375" style="296" customWidth="1"/>
    <col min="13837" max="13837" width="13.7109375" style="296" customWidth="1"/>
    <col min="13838" max="13838" width="3.5703125" style="296" bestFit="1" customWidth="1"/>
    <col min="13839" max="13839" width="1.7109375" style="296" customWidth="1"/>
    <col min="13840" max="13840" width="51" style="296" bestFit="1" customWidth="1"/>
    <col min="13841" max="13841" width="1.7109375" style="296" customWidth="1"/>
    <col min="13842" max="13842" width="4.7109375" style="296" bestFit="1" customWidth="1"/>
    <col min="13843" max="13843" width="1.7109375" style="296" customWidth="1"/>
    <col min="13844" max="13844" width="13.7109375" style="296" customWidth="1"/>
    <col min="13845" max="13845" width="1.7109375" style="296" customWidth="1"/>
    <col min="13846" max="13846" width="13.7109375" style="296" customWidth="1"/>
    <col min="13847" max="14080" width="2.28515625" style="296"/>
    <col min="14081" max="14081" width="4.140625" style="296" bestFit="1" customWidth="1"/>
    <col min="14082" max="14082" width="1.7109375" style="296" customWidth="1"/>
    <col min="14083" max="14083" width="38" style="296" bestFit="1" customWidth="1"/>
    <col min="14084" max="14084" width="1.7109375" style="296" customWidth="1"/>
    <col min="14085" max="14085" width="4.7109375" style="296" bestFit="1" customWidth="1"/>
    <col min="14086" max="14086" width="1.7109375" style="296" customWidth="1"/>
    <col min="14087" max="14087" width="13.7109375" style="296" customWidth="1"/>
    <col min="14088" max="14088" width="1.7109375" style="296" customWidth="1"/>
    <col min="14089" max="14089" width="13.7109375" style="296" customWidth="1"/>
    <col min="14090" max="14090" width="1.7109375" style="296" customWidth="1"/>
    <col min="14091" max="14091" width="13.7109375" style="296" customWidth="1"/>
    <col min="14092" max="14092" width="1.7109375" style="296" customWidth="1"/>
    <col min="14093" max="14093" width="13.7109375" style="296" customWidth="1"/>
    <col min="14094" max="14094" width="3.5703125" style="296" bestFit="1" customWidth="1"/>
    <col min="14095" max="14095" width="1.7109375" style="296" customWidth="1"/>
    <col min="14096" max="14096" width="51" style="296" bestFit="1" customWidth="1"/>
    <col min="14097" max="14097" width="1.7109375" style="296" customWidth="1"/>
    <col min="14098" max="14098" width="4.7109375" style="296" bestFit="1" customWidth="1"/>
    <col min="14099" max="14099" width="1.7109375" style="296" customWidth="1"/>
    <col min="14100" max="14100" width="13.7109375" style="296" customWidth="1"/>
    <col min="14101" max="14101" width="1.7109375" style="296" customWidth="1"/>
    <col min="14102" max="14102" width="13.7109375" style="296" customWidth="1"/>
    <col min="14103" max="14336" width="2.28515625" style="296"/>
    <col min="14337" max="14337" width="4.140625" style="296" bestFit="1" customWidth="1"/>
    <col min="14338" max="14338" width="1.7109375" style="296" customWidth="1"/>
    <col min="14339" max="14339" width="38" style="296" bestFit="1" customWidth="1"/>
    <col min="14340" max="14340" width="1.7109375" style="296" customWidth="1"/>
    <col min="14341" max="14341" width="4.7109375" style="296" bestFit="1" customWidth="1"/>
    <col min="14342" max="14342" width="1.7109375" style="296" customWidth="1"/>
    <col min="14343" max="14343" width="13.7109375" style="296" customWidth="1"/>
    <col min="14344" max="14344" width="1.7109375" style="296" customWidth="1"/>
    <col min="14345" max="14345" width="13.7109375" style="296" customWidth="1"/>
    <col min="14346" max="14346" width="1.7109375" style="296" customWidth="1"/>
    <col min="14347" max="14347" width="13.7109375" style="296" customWidth="1"/>
    <col min="14348" max="14348" width="1.7109375" style="296" customWidth="1"/>
    <col min="14349" max="14349" width="13.7109375" style="296" customWidth="1"/>
    <col min="14350" max="14350" width="3.5703125" style="296" bestFit="1" customWidth="1"/>
    <col min="14351" max="14351" width="1.7109375" style="296" customWidth="1"/>
    <col min="14352" max="14352" width="51" style="296" bestFit="1" customWidth="1"/>
    <col min="14353" max="14353" width="1.7109375" style="296" customWidth="1"/>
    <col min="14354" max="14354" width="4.7109375" style="296" bestFit="1" customWidth="1"/>
    <col min="14355" max="14355" width="1.7109375" style="296" customWidth="1"/>
    <col min="14356" max="14356" width="13.7109375" style="296" customWidth="1"/>
    <col min="14357" max="14357" width="1.7109375" style="296" customWidth="1"/>
    <col min="14358" max="14358" width="13.7109375" style="296" customWidth="1"/>
    <col min="14359" max="14592" width="2.28515625" style="296"/>
    <col min="14593" max="14593" width="4.140625" style="296" bestFit="1" customWidth="1"/>
    <col min="14594" max="14594" width="1.7109375" style="296" customWidth="1"/>
    <col min="14595" max="14595" width="38" style="296" bestFit="1" customWidth="1"/>
    <col min="14596" max="14596" width="1.7109375" style="296" customWidth="1"/>
    <col min="14597" max="14597" width="4.7109375" style="296" bestFit="1" customWidth="1"/>
    <col min="14598" max="14598" width="1.7109375" style="296" customWidth="1"/>
    <col min="14599" max="14599" width="13.7109375" style="296" customWidth="1"/>
    <col min="14600" max="14600" width="1.7109375" style="296" customWidth="1"/>
    <col min="14601" max="14601" width="13.7109375" style="296" customWidth="1"/>
    <col min="14602" max="14602" width="1.7109375" style="296" customWidth="1"/>
    <col min="14603" max="14603" width="13.7109375" style="296" customWidth="1"/>
    <col min="14604" max="14604" width="1.7109375" style="296" customWidth="1"/>
    <col min="14605" max="14605" width="13.7109375" style="296" customWidth="1"/>
    <col min="14606" max="14606" width="3.5703125" style="296" bestFit="1" customWidth="1"/>
    <col min="14607" max="14607" width="1.7109375" style="296" customWidth="1"/>
    <col min="14608" max="14608" width="51" style="296" bestFit="1" customWidth="1"/>
    <col min="14609" max="14609" width="1.7109375" style="296" customWidth="1"/>
    <col min="14610" max="14610" width="4.7109375" style="296" bestFit="1" customWidth="1"/>
    <col min="14611" max="14611" width="1.7109375" style="296" customWidth="1"/>
    <col min="14612" max="14612" width="13.7109375" style="296" customWidth="1"/>
    <col min="14613" max="14613" width="1.7109375" style="296" customWidth="1"/>
    <col min="14614" max="14614" width="13.7109375" style="296" customWidth="1"/>
    <col min="14615" max="14848" width="2.28515625" style="296"/>
    <col min="14849" max="14849" width="4.140625" style="296" bestFit="1" customWidth="1"/>
    <col min="14850" max="14850" width="1.7109375" style="296" customWidth="1"/>
    <col min="14851" max="14851" width="38" style="296" bestFit="1" customWidth="1"/>
    <col min="14852" max="14852" width="1.7109375" style="296" customWidth="1"/>
    <col min="14853" max="14853" width="4.7109375" style="296" bestFit="1" customWidth="1"/>
    <col min="14854" max="14854" width="1.7109375" style="296" customWidth="1"/>
    <col min="14855" max="14855" width="13.7109375" style="296" customWidth="1"/>
    <col min="14856" max="14856" width="1.7109375" style="296" customWidth="1"/>
    <col min="14857" max="14857" width="13.7109375" style="296" customWidth="1"/>
    <col min="14858" max="14858" width="1.7109375" style="296" customWidth="1"/>
    <col min="14859" max="14859" width="13.7109375" style="296" customWidth="1"/>
    <col min="14860" max="14860" width="1.7109375" style="296" customWidth="1"/>
    <col min="14861" max="14861" width="13.7109375" style="296" customWidth="1"/>
    <col min="14862" max="14862" width="3.5703125" style="296" bestFit="1" customWidth="1"/>
    <col min="14863" max="14863" width="1.7109375" style="296" customWidth="1"/>
    <col min="14864" max="14864" width="51" style="296" bestFit="1" customWidth="1"/>
    <col min="14865" max="14865" width="1.7109375" style="296" customWidth="1"/>
    <col min="14866" max="14866" width="4.7109375" style="296" bestFit="1" customWidth="1"/>
    <col min="14867" max="14867" width="1.7109375" style="296" customWidth="1"/>
    <col min="14868" max="14868" width="13.7109375" style="296" customWidth="1"/>
    <col min="14869" max="14869" width="1.7109375" style="296" customWidth="1"/>
    <col min="14870" max="14870" width="13.7109375" style="296" customWidth="1"/>
    <col min="14871" max="15104" width="2.28515625" style="296"/>
    <col min="15105" max="15105" width="4.140625" style="296" bestFit="1" customWidth="1"/>
    <col min="15106" max="15106" width="1.7109375" style="296" customWidth="1"/>
    <col min="15107" max="15107" width="38" style="296" bestFit="1" customWidth="1"/>
    <col min="15108" max="15108" width="1.7109375" style="296" customWidth="1"/>
    <col min="15109" max="15109" width="4.7109375" style="296" bestFit="1" customWidth="1"/>
    <col min="15110" max="15110" width="1.7109375" style="296" customWidth="1"/>
    <col min="15111" max="15111" width="13.7109375" style="296" customWidth="1"/>
    <col min="15112" max="15112" width="1.7109375" style="296" customWidth="1"/>
    <col min="15113" max="15113" width="13.7109375" style="296" customWidth="1"/>
    <col min="15114" max="15114" width="1.7109375" style="296" customWidth="1"/>
    <col min="15115" max="15115" width="13.7109375" style="296" customWidth="1"/>
    <col min="15116" max="15116" width="1.7109375" style="296" customWidth="1"/>
    <col min="15117" max="15117" width="13.7109375" style="296" customWidth="1"/>
    <col min="15118" max="15118" width="3.5703125" style="296" bestFit="1" customWidth="1"/>
    <col min="15119" max="15119" width="1.7109375" style="296" customWidth="1"/>
    <col min="15120" max="15120" width="51" style="296" bestFit="1" customWidth="1"/>
    <col min="15121" max="15121" width="1.7109375" style="296" customWidth="1"/>
    <col min="15122" max="15122" width="4.7109375" style="296" bestFit="1" customWidth="1"/>
    <col min="15123" max="15123" width="1.7109375" style="296" customWidth="1"/>
    <col min="15124" max="15124" width="13.7109375" style="296" customWidth="1"/>
    <col min="15125" max="15125" width="1.7109375" style="296" customWidth="1"/>
    <col min="15126" max="15126" width="13.7109375" style="296" customWidth="1"/>
    <col min="15127" max="15360" width="2.28515625" style="296"/>
    <col min="15361" max="15361" width="4.140625" style="296" bestFit="1" customWidth="1"/>
    <col min="15362" max="15362" width="1.7109375" style="296" customWidth="1"/>
    <col min="15363" max="15363" width="38" style="296" bestFit="1" customWidth="1"/>
    <col min="15364" max="15364" width="1.7109375" style="296" customWidth="1"/>
    <col min="15365" max="15365" width="4.7109375" style="296" bestFit="1" customWidth="1"/>
    <col min="15366" max="15366" width="1.7109375" style="296" customWidth="1"/>
    <col min="15367" max="15367" width="13.7109375" style="296" customWidth="1"/>
    <col min="15368" max="15368" width="1.7109375" style="296" customWidth="1"/>
    <col min="15369" max="15369" width="13.7109375" style="296" customWidth="1"/>
    <col min="15370" max="15370" width="1.7109375" style="296" customWidth="1"/>
    <col min="15371" max="15371" width="13.7109375" style="296" customWidth="1"/>
    <col min="15372" max="15372" width="1.7109375" style="296" customWidth="1"/>
    <col min="15373" max="15373" width="13.7109375" style="296" customWidth="1"/>
    <col min="15374" max="15374" width="3.5703125" style="296" bestFit="1" customWidth="1"/>
    <col min="15375" max="15375" width="1.7109375" style="296" customWidth="1"/>
    <col min="15376" max="15376" width="51" style="296" bestFit="1" customWidth="1"/>
    <col min="15377" max="15377" width="1.7109375" style="296" customWidth="1"/>
    <col min="15378" max="15378" width="4.7109375" style="296" bestFit="1" customWidth="1"/>
    <col min="15379" max="15379" width="1.7109375" style="296" customWidth="1"/>
    <col min="15380" max="15380" width="13.7109375" style="296" customWidth="1"/>
    <col min="15381" max="15381" width="1.7109375" style="296" customWidth="1"/>
    <col min="15382" max="15382" width="13.7109375" style="296" customWidth="1"/>
    <col min="15383" max="15616" width="2.28515625" style="296"/>
    <col min="15617" max="15617" width="4.140625" style="296" bestFit="1" customWidth="1"/>
    <col min="15618" max="15618" width="1.7109375" style="296" customWidth="1"/>
    <col min="15619" max="15619" width="38" style="296" bestFit="1" customWidth="1"/>
    <col min="15620" max="15620" width="1.7109375" style="296" customWidth="1"/>
    <col min="15621" max="15621" width="4.7109375" style="296" bestFit="1" customWidth="1"/>
    <col min="15622" max="15622" width="1.7109375" style="296" customWidth="1"/>
    <col min="15623" max="15623" width="13.7109375" style="296" customWidth="1"/>
    <col min="15624" max="15624" width="1.7109375" style="296" customWidth="1"/>
    <col min="15625" max="15625" width="13.7109375" style="296" customWidth="1"/>
    <col min="15626" max="15626" width="1.7109375" style="296" customWidth="1"/>
    <col min="15627" max="15627" width="13.7109375" style="296" customWidth="1"/>
    <col min="15628" max="15628" width="1.7109375" style="296" customWidth="1"/>
    <col min="15629" max="15629" width="13.7109375" style="296" customWidth="1"/>
    <col min="15630" max="15630" width="3.5703125" style="296" bestFit="1" customWidth="1"/>
    <col min="15631" max="15631" width="1.7109375" style="296" customWidth="1"/>
    <col min="15632" max="15632" width="51" style="296" bestFit="1" customWidth="1"/>
    <col min="15633" max="15633" width="1.7109375" style="296" customWidth="1"/>
    <col min="15634" max="15634" width="4.7109375" style="296" bestFit="1" customWidth="1"/>
    <col min="15635" max="15635" width="1.7109375" style="296" customWidth="1"/>
    <col min="15636" max="15636" width="13.7109375" style="296" customWidth="1"/>
    <col min="15637" max="15637" width="1.7109375" style="296" customWidth="1"/>
    <col min="15638" max="15638" width="13.7109375" style="296" customWidth="1"/>
    <col min="15639" max="15872" width="2.28515625" style="296"/>
    <col min="15873" max="15873" width="4.140625" style="296" bestFit="1" customWidth="1"/>
    <col min="15874" max="15874" width="1.7109375" style="296" customWidth="1"/>
    <col min="15875" max="15875" width="38" style="296" bestFit="1" customWidth="1"/>
    <col min="15876" max="15876" width="1.7109375" style="296" customWidth="1"/>
    <col min="15877" max="15877" width="4.7109375" style="296" bestFit="1" customWidth="1"/>
    <col min="15878" max="15878" width="1.7109375" style="296" customWidth="1"/>
    <col min="15879" max="15879" width="13.7109375" style="296" customWidth="1"/>
    <col min="15880" max="15880" width="1.7109375" style="296" customWidth="1"/>
    <col min="15881" max="15881" width="13.7109375" style="296" customWidth="1"/>
    <col min="15882" max="15882" width="1.7109375" style="296" customWidth="1"/>
    <col min="15883" max="15883" width="13.7109375" style="296" customWidth="1"/>
    <col min="15884" max="15884" width="1.7109375" style="296" customWidth="1"/>
    <col min="15885" max="15885" width="13.7109375" style="296" customWidth="1"/>
    <col min="15886" max="15886" width="3.5703125" style="296" bestFit="1" customWidth="1"/>
    <col min="15887" max="15887" width="1.7109375" style="296" customWidth="1"/>
    <col min="15888" max="15888" width="51" style="296" bestFit="1" customWidth="1"/>
    <col min="15889" max="15889" width="1.7109375" style="296" customWidth="1"/>
    <col min="15890" max="15890" width="4.7109375" style="296" bestFit="1" customWidth="1"/>
    <col min="15891" max="15891" width="1.7109375" style="296" customWidth="1"/>
    <col min="15892" max="15892" width="13.7109375" style="296" customWidth="1"/>
    <col min="15893" max="15893" width="1.7109375" style="296" customWidth="1"/>
    <col min="15894" max="15894" width="13.7109375" style="296" customWidth="1"/>
    <col min="15895" max="16128" width="2.28515625" style="296"/>
    <col min="16129" max="16129" width="4.140625" style="296" bestFit="1" customWidth="1"/>
    <col min="16130" max="16130" width="1.7109375" style="296" customWidth="1"/>
    <col min="16131" max="16131" width="38" style="296" bestFit="1" customWidth="1"/>
    <col min="16132" max="16132" width="1.7109375" style="296" customWidth="1"/>
    <col min="16133" max="16133" width="4.7109375" style="296" bestFit="1" customWidth="1"/>
    <col min="16134" max="16134" width="1.7109375" style="296" customWidth="1"/>
    <col min="16135" max="16135" width="13.7109375" style="296" customWidth="1"/>
    <col min="16136" max="16136" width="1.7109375" style="296" customWidth="1"/>
    <col min="16137" max="16137" width="13.7109375" style="296" customWidth="1"/>
    <col min="16138" max="16138" width="1.7109375" style="296" customWidth="1"/>
    <col min="16139" max="16139" width="13.7109375" style="296" customWidth="1"/>
    <col min="16140" max="16140" width="1.7109375" style="296" customWidth="1"/>
    <col min="16141" max="16141" width="13.7109375" style="296" customWidth="1"/>
    <col min="16142" max="16142" width="3.5703125" style="296" bestFit="1" customWidth="1"/>
    <col min="16143" max="16143" width="1.7109375" style="296" customWidth="1"/>
    <col min="16144" max="16144" width="51" style="296" bestFit="1" customWidth="1"/>
    <col min="16145" max="16145" width="1.7109375" style="296" customWidth="1"/>
    <col min="16146" max="16146" width="4.7109375" style="296" bestFit="1" customWidth="1"/>
    <col min="16147" max="16147" width="1.7109375" style="296" customWidth="1"/>
    <col min="16148" max="16148" width="13.7109375" style="296" customWidth="1"/>
    <col min="16149" max="16149" width="1.7109375" style="296" customWidth="1"/>
    <col min="16150" max="16150" width="13.7109375" style="296" customWidth="1"/>
    <col min="16151" max="16384" width="2.28515625" style="296"/>
  </cols>
  <sheetData>
    <row r="2" spans="1:22" ht="12" customHeight="1" x14ac:dyDescent="0.25">
      <c r="C2" s="297" t="s">
        <v>641</v>
      </c>
      <c r="D2" s="454" t="s">
        <v>974</v>
      </c>
      <c r="E2" s="454"/>
      <c r="F2" s="454"/>
      <c r="G2" s="454"/>
      <c r="H2" s="454"/>
      <c r="I2" s="454"/>
      <c r="J2" s="454"/>
      <c r="K2" s="454"/>
      <c r="L2" s="454"/>
      <c r="M2" s="454"/>
      <c r="P2" s="297" t="s">
        <v>642</v>
      </c>
      <c r="Q2" s="454" t="s">
        <v>971</v>
      </c>
      <c r="R2" s="454"/>
      <c r="S2" s="454"/>
      <c r="T2" s="454"/>
    </row>
    <row r="3" spans="1:22" ht="12" customHeight="1" x14ac:dyDescent="0.25">
      <c r="C3" s="297" t="s">
        <v>643</v>
      </c>
      <c r="D3" s="455" t="s">
        <v>975</v>
      </c>
      <c r="E3" s="455"/>
      <c r="F3" s="455"/>
      <c r="G3" s="455"/>
      <c r="H3" s="455"/>
      <c r="I3" s="455"/>
      <c r="J3" s="455"/>
      <c r="K3" s="455"/>
      <c r="L3" s="455"/>
      <c r="M3" s="455"/>
      <c r="P3" s="297" t="s">
        <v>644</v>
      </c>
      <c r="Q3" s="456">
        <v>12</v>
      </c>
      <c r="R3" s="456"/>
      <c r="S3" s="456"/>
      <c r="T3" s="456"/>
    </row>
    <row r="4" spans="1:22" ht="12" customHeight="1" x14ac:dyDescent="0.15">
      <c r="C4" s="326" t="s">
        <v>970</v>
      </c>
    </row>
    <row r="5" spans="1:22" ht="25.5" x14ac:dyDescent="0.15">
      <c r="A5" s="457" t="s">
        <v>645</v>
      </c>
      <c r="B5" s="457"/>
      <c r="C5" s="457"/>
      <c r="D5" s="457"/>
      <c r="E5" s="457"/>
      <c r="F5" s="457"/>
      <c r="G5" s="457"/>
      <c r="H5" s="457"/>
      <c r="I5" s="457"/>
      <c r="J5" s="457"/>
      <c r="K5" s="457"/>
      <c r="L5" s="457"/>
      <c r="M5" s="457"/>
      <c r="N5" s="457"/>
      <c r="O5" s="457"/>
      <c r="P5" s="457"/>
      <c r="Q5" s="457"/>
      <c r="R5" s="457"/>
      <c r="S5" s="457"/>
      <c r="T5" s="457"/>
      <c r="U5" s="457"/>
      <c r="V5" s="457"/>
    </row>
    <row r="6" spans="1:22" ht="12" customHeight="1" x14ac:dyDescent="0.15">
      <c r="A6" s="299"/>
      <c r="B6" s="299"/>
      <c r="C6" s="299"/>
      <c r="D6" s="299"/>
      <c r="E6" s="299"/>
      <c r="F6" s="299"/>
      <c r="G6" s="299"/>
      <c r="H6" s="299"/>
      <c r="I6" s="299"/>
      <c r="J6" s="299"/>
      <c r="K6" s="299"/>
      <c r="L6" s="299"/>
      <c r="M6" s="299"/>
      <c r="N6" s="299"/>
      <c r="O6" s="299"/>
      <c r="P6" s="299"/>
      <c r="Q6" s="299"/>
      <c r="R6" s="299"/>
      <c r="S6" s="299"/>
      <c r="T6" s="299"/>
      <c r="U6" s="299"/>
      <c r="V6" s="299"/>
    </row>
    <row r="7" spans="1:22" ht="12" customHeight="1" x14ac:dyDescent="0.15">
      <c r="A7" s="458" t="s">
        <v>520</v>
      </c>
      <c r="B7" s="300"/>
      <c r="C7" s="458" t="s">
        <v>240</v>
      </c>
      <c r="D7" s="300"/>
      <c r="E7" s="458" t="s">
        <v>646</v>
      </c>
      <c r="F7" s="301"/>
      <c r="G7" s="460" t="s">
        <v>647</v>
      </c>
      <c r="H7" s="460"/>
      <c r="I7" s="460"/>
      <c r="J7" s="460"/>
      <c r="K7" s="460"/>
      <c r="L7" s="300"/>
      <c r="M7" s="302" t="s">
        <v>648</v>
      </c>
      <c r="N7" s="461" t="s">
        <v>520</v>
      </c>
      <c r="O7" s="300"/>
      <c r="P7" s="458" t="s">
        <v>270</v>
      </c>
      <c r="Q7" s="300"/>
      <c r="R7" s="458" t="s">
        <v>646</v>
      </c>
      <c r="S7" s="300"/>
      <c r="T7" s="303" t="s">
        <v>648</v>
      </c>
      <c r="U7" s="303"/>
      <c r="V7" s="304" t="s">
        <v>649</v>
      </c>
    </row>
    <row r="8" spans="1:22" ht="12" customHeight="1" x14ac:dyDescent="0.15">
      <c r="A8" s="458"/>
      <c r="B8" s="300"/>
      <c r="C8" s="458"/>
      <c r="D8" s="300"/>
      <c r="E8" s="458"/>
      <c r="F8" s="301"/>
      <c r="G8" s="458" t="s">
        <v>650</v>
      </c>
      <c r="H8" s="300"/>
      <c r="I8" s="300" t="s">
        <v>651</v>
      </c>
      <c r="J8" s="300"/>
      <c r="K8" s="458" t="s">
        <v>652</v>
      </c>
      <c r="L8" s="300"/>
      <c r="M8" s="302" t="s">
        <v>653</v>
      </c>
      <c r="N8" s="462"/>
      <c r="O8" s="300"/>
      <c r="P8" s="458"/>
      <c r="Q8" s="300"/>
      <c r="R8" s="458"/>
      <c r="S8" s="300"/>
      <c r="T8" s="303" t="s">
        <v>654</v>
      </c>
      <c r="U8" s="303"/>
      <c r="V8" s="304" t="s">
        <v>655</v>
      </c>
    </row>
    <row r="9" spans="1:22" ht="12" customHeight="1" x14ac:dyDescent="0.15">
      <c r="A9" s="458"/>
      <c r="B9" s="300"/>
      <c r="C9" s="458"/>
      <c r="D9" s="300"/>
      <c r="E9" s="458"/>
      <c r="F9" s="301"/>
      <c r="G9" s="458"/>
      <c r="H9" s="300"/>
      <c r="I9" s="300" t="s">
        <v>656</v>
      </c>
      <c r="J9" s="300"/>
      <c r="K9" s="458"/>
      <c r="L9" s="300"/>
      <c r="M9" s="302" t="s">
        <v>657</v>
      </c>
      <c r="N9" s="462"/>
      <c r="O9" s="300"/>
      <c r="P9" s="458"/>
      <c r="Q9" s="300"/>
      <c r="R9" s="458"/>
      <c r="S9" s="300"/>
      <c r="T9" s="303" t="s">
        <v>658</v>
      </c>
      <c r="U9" s="303"/>
      <c r="V9" s="304" t="s">
        <v>657</v>
      </c>
    </row>
    <row r="10" spans="1:22" ht="12" customHeight="1" thickBot="1" x14ac:dyDescent="0.2">
      <c r="A10" s="459"/>
      <c r="B10" s="305"/>
      <c r="C10" s="459"/>
      <c r="D10" s="305"/>
      <c r="E10" s="459"/>
      <c r="F10" s="306"/>
      <c r="G10" s="459"/>
      <c r="H10" s="305"/>
      <c r="I10" s="305" t="s">
        <v>659</v>
      </c>
      <c r="J10" s="305"/>
      <c r="K10" s="459"/>
      <c r="L10" s="305"/>
      <c r="M10" s="270" t="s">
        <v>652</v>
      </c>
      <c r="N10" s="463"/>
      <c r="O10" s="305"/>
      <c r="P10" s="459"/>
      <c r="Q10" s="305"/>
      <c r="R10" s="459"/>
      <c r="S10" s="305"/>
      <c r="T10" s="307" t="s">
        <v>652</v>
      </c>
      <c r="U10" s="307"/>
      <c r="V10" s="308" t="s">
        <v>652</v>
      </c>
    </row>
    <row r="11" spans="1:22" ht="12" customHeight="1" x14ac:dyDescent="0.15">
      <c r="A11" s="303" t="s">
        <v>241</v>
      </c>
      <c r="B11" s="298"/>
      <c r="C11" s="298" t="s">
        <v>660</v>
      </c>
      <c r="D11" s="298"/>
      <c r="E11" s="303">
        <v>3</v>
      </c>
      <c r="F11" s="298"/>
      <c r="G11" s="298"/>
      <c r="H11" s="298"/>
      <c r="I11" s="298"/>
      <c r="J11" s="298"/>
      <c r="K11" s="298"/>
      <c r="L11" s="298"/>
      <c r="M11" s="309"/>
      <c r="N11" s="310"/>
      <c r="R11" s="311"/>
      <c r="V11" s="312"/>
    </row>
    <row r="12" spans="1:22" ht="12" customHeight="1" x14ac:dyDescent="0.15">
      <c r="A12" s="311" t="s">
        <v>242</v>
      </c>
      <c r="C12" s="296" t="s">
        <v>630</v>
      </c>
      <c r="E12" s="311"/>
      <c r="G12" s="313">
        <v>150000</v>
      </c>
      <c r="H12" s="313"/>
      <c r="I12" s="313"/>
      <c r="J12" s="313"/>
      <c r="K12" s="313">
        <f>G12-I12</f>
        <v>150000</v>
      </c>
      <c r="L12" s="313"/>
      <c r="M12" s="314">
        <v>180000</v>
      </c>
      <c r="N12" s="310" t="s">
        <v>271</v>
      </c>
      <c r="P12" s="296" t="s">
        <v>272</v>
      </c>
      <c r="R12" s="311">
        <v>13</v>
      </c>
      <c r="T12" s="313">
        <v>15000000</v>
      </c>
      <c r="U12" s="313"/>
      <c r="V12" s="314">
        <v>15000000</v>
      </c>
    </row>
    <row r="13" spans="1:22" ht="12" customHeight="1" x14ac:dyDescent="0.15">
      <c r="A13" s="311" t="s">
        <v>243</v>
      </c>
      <c r="C13" s="296" t="s">
        <v>631</v>
      </c>
      <c r="E13" s="311"/>
      <c r="G13" s="313">
        <v>500000</v>
      </c>
      <c r="H13" s="313"/>
      <c r="I13" s="313"/>
      <c r="J13" s="313"/>
      <c r="K13" s="313">
        <f t="shared" ref="K13:K39" si="0">G13-I13</f>
        <v>500000</v>
      </c>
      <c r="L13" s="313"/>
      <c r="M13" s="314">
        <v>650000</v>
      </c>
      <c r="N13" s="310" t="s">
        <v>273</v>
      </c>
      <c r="P13" s="296" t="s">
        <v>661</v>
      </c>
      <c r="R13" s="311">
        <v>13</v>
      </c>
      <c r="T13" s="313"/>
      <c r="U13" s="313"/>
      <c r="V13" s="314"/>
    </row>
    <row r="14" spans="1:22" ht="12" customHeight="1" x14ac:dyDescent="0.15">
      <c r="A14" s="311" t="s">
        <v>244</v>
      </c>
      <c r="C14" s="296" t="s">
        <v>632</v>
      </c>
      <c r="E14" s="311"/>
      <c r="G14" s="313">
        <v>780000</v>
      </c>
      <c r="H14" s="313"/>
      <c r="I14" s="313"/>
      <c r="J14" s="313"/>
      <c r="K14" s="313">
        <f t="shared" si="0"/>
        <v>780000</v>
      </c>
      <c r="L14" s="313"/>
      <c r="M14" s="314">
        <v>1000000</v>
      </c>
      <c r="N14" s="310" t="s">
        <v>274</v>
      </c>
      <c r="P14" s="296" t="s">
        <v>662</v>
      </c>
      <c r="R14" s="311">
        <v>14</v>
      </c>
      <c r="T14" s="313"/>
      <c r="U14" s="313"/>
      <c r="V14" s="314"/>
    </row>
    <row r="15" spans="1:22" ht="12" customHeight="1" x14ac:dyDescent="0.15">
      <c r="A15" s="311" t="s">
        <v>245</v>
      </c>
      <c r="C15" s="296" t="s">
        <v>633</v>
      </c>
      <c r="E15" s="311"/>
      <c r="G15" s="313"/>
      <c r="H15" s="313"/>
      <c r="I15" s="313"/>
      <c r="J15" s="313"/>
      <c r="K15" s="313">
        <f t="shared" si="0"/>
        <v>0</v>
      </c>
      <c r="L15" s="313"/>
      <c r="M15" s="314"/>
      <c r="N15" s="310" t="s">
        <v>275</v>
      </c>
      <c r="P15" s="296" t="s">
        <v>663</v>
      </c>
      <c r="R15" s="311" t="s">
        <v>664</v>
      </c>
      <c r="T15" s="313"/>
      <c r="U15" s="313"/>
      <c r="V15" s="314"/>
    </row>
    <row r="16" spans="1:22" ht="12" customHeight="1" x14ac:dyDescent="0.15">
      <c r="A16" s="303" t="s">
        <v>246</v>
      </c>
      <c r="B16" s="298"/>
      <c r="C16" s="298" t="s">
        <v>634</v>
      </c>
      <c r="D16" s="298"/>
      <c r="E16" s="303">
        <v>3</v>
      </c>
      <c r="F16" s="298"/>
      <c r="G16" s="313"/>
      <c r="H16" s="313"/>
      <c r="I16" s="313"/>
      <c r="J16" s="315"/>
      <c r="K16" s="313">
        <f t="shared" si="0"/>
        <v>0</v>
      </c>
      <c r="L16" s="315"/>
      <c r="M16" s="316"/>
      <c r="N16" s="310" t="s">
        <v>276</v>
      </c>
      <c r="P16" s="296" t="s">
        <v>665</v>
      </c>
      <c r="R16" s="311">
        <v>14</v>
      </c>
      <c r="T16" s="313">
        <v>1500000</v>
      </c>
      <c r="U16" s="313"/>
      <c r="V16" s="314">
        <v>1500000</v>
      </c>
    </row>
    <row r="17" spans="1:22" ht="12" customHeight="1" x14ac:dyDescent="0.15">
      <c r="A17" s="311" t="s">
        <v>247</v>
      </c>
      <c r="C17" s="296" t="s">
        <v>635</v>
      </c>
      <c r="E17" s="311"/>
      <c r="G17" s="313">
        <v>3000000</v>
      </c>
      <c r="H17" s="313"/>
      <c r="I17" s="313"/>
      <c r="J17" s="313"/>
      <c r="K17" s="313">
        <f t="shared" si="0"/>
        <v>3000000</v>
      </c>
      <c r="L17" s="313"/>
      <c r="M17" s="314">
        <v>3000000</v>
      </c>
      <c r="N17" s="310" t="s">
        <v>277</v>
      </c>
      <c r="P17" s="296" t="s">
        <v>666</v>
      </c>
      <c r="R17" s="311">
        <v>14</v>
      </c>
      <c r="T17" s="313">
        <v>2000000</v>
      </c>
      <c r="U17" s="313"/>
      <c r="V17" s="314">
        <v>2000000</v>
      </c>
    </row>
    <row r="18" spans="1:22" ht="12" customHeight="1" x14ac:dyDescent="0.15">
      <c r="A18" s="311" t="s">
        <v>248</v>
      </c>
      <c r="C18" s="296" t="s">
        <v>636</v>
      </c>
      <c r="E18" s="311"/>
      <c r="G18" s="313">
        <v>15000000</v>
      </c>
      <c r="H18" s="313"/>
      <c r="I18" s="313"/>
      <c r="J18" s="313"/>
      <c r="K18" s="313">
        <f t="shared" si="0"/>
        <v>15000000</v>
      </c>
      <c r="L18" s="313"/>
      <c r="M18" s="314">
        <v>16000000</v>
      </c>
      <c r="N18" s="310" t="s">
        <v>278</v>
      </c>
      <c r="P18" s="296" t="s">
        <v>667</v>
      </c>
      <c r="R18" s="311">
        <v>14</v>
      </c>
      <c r="T18" s="313">
        <v>7500000</v>
      </c>
      <c r="U18" s="313"/>
      <c r="V18" s="314">
        <v>6000000</v>
      </c>
    </row>
    <row r="19" spans="1:22" ht="12" customHeight="1" x14ac:dyDescent="0.15">
      <c r="A19" s="311" t="s">
        <v>249</v>
      </c>
      <c r="C19" s="296" t="s">
        <v>637</v>
      </c>
      <c r="E19" s="311"/>
      <c r="G19" s="313">
        <v>3000000</v>
      </c>
      <c r="H19" s="313"/>
      <c r="I19" s="313"/>
      <c r="J19" s="313"/>
      <c r="K19" s="313">
        <f t="shared" si="0"/>
        <v>3000000</v>
      </c>
      <c r="L19" s="313"/>
      <c r="M19" s="314">
        <v>3500000</v>
      </c>
      <c r="N19" s="310" t="s">
        <v>668</v>
      </c>
      <c r="P19" s="296" t="s">
        <v>669</v>
      </c>
      <c r="R19" s="311"/>
      <c r="T19" s="313">
        <v>6000000</v>
      </c>
      <c r="U19" s="313"/>
      <c r="V19" s="314">
        <v>5000000</v>
      </c>
    </row>
    <row r="20" spans="1:22" ht="12" customHeight="1" x14ac:dyDescent="0.15">
      <c r="A20" s="311" t="s">
        <v>250</v>
      </c>
      <c r="C20" s="296" t="s">
        <v>638</v>
      </c>
      <c r="E20" s="311"/>
      <c r="G20" s="313">
        <v>3500000</v>
      </c>
      <c r="H20" s="313"/>
      <c r="I20" s="313"/>
      <c r="J20" s="313"/>
      <c r="K20" s="313">
        <f t="shared" si="0"/>
        <v>3500000</v>
      </c>
      <c r="L20" s="313"/>
      <c r="M20" s="314">
        <v>4000000</v>
      </c>
      <c r="N20" s="310" t="s">
        <v>279</v>
      </c>
      <c r="P20" s="296" t="s">
        <v>670</v>
      </c>
      <c r="R20" s="311">
        <v>15</v>
      </c>
      <c r="T20" s="313"/>
      <c r="U20" s="313"/>
      <c r="V20" s="314"/>
    </row>
    <row r="21" spans="1:22" ht="12" customHeight="1" x14ac:dyDescent="0.15">
      <c r="A21" s="311" t="s">
        <v>251</v>
      </c>
      <c r="C21" s="296" t="s">
        <v>639</v>
      </c>
      <c r="E21" s="311"/>
      <c r="G21" s="313"/>
      <c r="H21" s="313"/>
      <c r="I21" s="313"/>
      <c r="J21" s="313"/>
      <c r="K21" s="313">
        <f t="shared" si="0"/>
        <v>0</v>
      </c>
      <c r="L21" s="313"/>
      <c r="M21" s="314"/>
      <c r="N21" s="310" t="s">
        <v>280</v>
      </c>
      <c r="P21" s="296" t="s">
        <v>671</v>
      </c>
      <c r="R21" s="311">
        <v>15</v>
      </c>
      <c r="T21" s="313"/>
      <c r="U21" s="313"/>
      <c r="V21" s="314"/>
    </row>
    <row r="22" spans="1:22" ht="12" customHeight="1" x14ac:dyDescent="0.15">
      <c r="A22" s="311" t="s">
        <v>252</v>
      </c>
      <c r="C22" s="296" t="s">
        <v>640</v>
      </c>
      <c r="E22" s="311">
        <v>3</v>
      </c>
      <c r="G22" s="313"/>
      <c r="H22" s="313"/>
      <c r="I22" s="313"/>
      <c r="J22" s="313"/>
      <c r="K22" s="313">
        <f t="shared" si="0"/>
        <v>0</v>
      </c>
      <c r="L22" s="313"/>
      <c r="M22" s="314"/>
      <c r="N22" s="317" t="s">
        <v>281</v>
      </c>
      <c r="O22" s="318"/>
      <c r="P22" s="318" t="s">
        <v>672</v>
      </c>
      <c r="Q22" s="318"/>
      <c r="R22" s="319"/>
      <c r="S22" s="318"/>
      <c r="T22" s="320">
        <f>SUM(T12:T21)</f>
        <v>32000000</v>
      </c>
      <c r="U22" s="320"/>
      <c r="V22" s="271">
        <f>SUM(V12:V21)</f>
        <v>29500000</v>
      </c>
    </row>
    <row r="23" spans="1:22" ht="12" customHeight="1" x14ac:dyDescent="0.15">
      <c r="A23" s="303" t="s">
        <v>253</v>
      </c>
      <c r="B23" s="298"/>
      <c r="C23" s="298" t="s">
        <v>673</v>
      </c>
      <c r="D23" s="298"/>
      <c r="E23" s="303">
        <v>4</v>
      </c>
      <c r="F23" s="298"/>
      <c r="G23" s="313"/>
      <c r="H23" s="313"/>
      <c r="I23" s="313"/>
      <c r="J23" s="315"/>
      <c r="K23" s="313">
        <f t="shared" si="0"/>
        <v>0</v>
      </c>
      <c r="L23" s="315"/>
      <c r="M23" s="316"/>
      <c r="N23" s="310" t="s">
        <v>282</v>
      </c>
      <c r="P23" s="296" t="s">
        <v>674</v>
      </c>
      <c r="R23" s="311">
        <v>16</v>
      </c>
      <c r="T23" s="313">
        <v>8000000</v>
      </c>
      <c r="U23" s="313"/>
      <c r="V23" s="314">
        <v>10000000</v>
      </c>
    </row>
    <row r="24" spans="1:22" ht="12" customHeight="1" x14ac:dyDescent="0.15">
      <c r="A24" s="311" t="s">
        <v>254</v>
      </c>
      <c r="C24" s="296" t="s">
        <v>675</v>
      </c>
      <c r="E24" s="311"/>
      <c r="G24" s="313"/>
      <c r="H24" s="313"/>
      <c r="I24" s="313"/>
      <c r="J24" s="313"/>
      <c r="K24" s="313">
        <f t="shared" si="0"/>
        <v>0</v>
      </c>
      <c r="L24" s="313"/>
      <c r="M24" s="314"/>
      <c r="N24" s="310" t="s">
        <v>283</v>
      </c>
      <c r="P24" s="296" t="s">
        <v>676</v>
      </c>
      <c r="R24" s="311">
        <v>16</v>
      </c>
      <c r="T24" s="313"/>
      <c r="U24" s="313"/>
      <c r="V24" s="314"/>
    </row>
    <row r="25" spans="1:22" ht="12" customHeight="1" x14ac:dyDescent="0.15">
      <c r="A25" s="311" t="s">
        <v>255</v>
      </c>
      <c r="C25" s="296" t="s">
        <v>677</v>
      </c>
      <c r="E25" s="311"/>
      <c r="G25" s="313"/>
      <c r="H25" s="313"/>
      <c r="I25" s="313"/>
      <c r="J25" s="313"/>
      <c r="K25" s="313">
        <f t="shared" si="0"/>
        <v>0</v>
      </c>
      <c r="L25" s="313"/>
      <c r="M25" s="314"/>
      <c r="N25" s="310" t="s">
        <v>284</v>
      </c>
      <c r="P25" s="296" t="s">
        <v>678</v>
      </c>
      <c r="R25" s="311">
        <v>16</v>
      </c>
      <c r="T25" s="313"/>
      <c r="U25" s="313"/>
      <c r="V25" s="314"/>
    </row>
    <row r="26" spans="1:22" ht="12" customHeight="1" x14ac:dyDescent="0.15">
      <c r="A26" s="319" t="s">
        <v>256</v>
      </c>
      <c r="B26" s="318"/>
      <c r="C26" s="318" t="s">
        <v>679</v>
      </c>
      <c r="D26" s="318"/>
      <c r="E26" s="319"/>
      <c r="F26" s="318"/>
      <c r="G26" s="320">
        <f>SUM(G12:G25)</f>
        <v>25930000</v>
      </c>
      <c r="H26" s="320"/>
      <c r="I26" s="320">
        <f>SUM(I12:I25)</f>
        <v>0</v>
      </c>
      <c r="J26" s="320"/>
      <c r="K26" s="320">
        <f t="shared" si="0"/>
        <v>25930000</v>
      </c>
      <c r="L26" s="320"/>
      <c r="M26" s="271">
        <f>SUM(M12:M25)</f>
        <v>28330000</v>
      </c>
      <c r="N26" s="317" t="s">
        <v>285</v>
      </c>
      <c r="O26" s="318"/>
      <c r="P26" s="318" t="s">
        <v>680</v>
      </c>
      <c r="Q26" s="318"/>
      <c r="R26" s="319"/>
      <c r="S26" s="318"/>
      <c r="T26" s="320">
        <f>SUM(T23:T25)</f>
        <v>8000000</v>
      </c>
      <c r="U26" s="320"/>
      <c r="V26" s="271">
        <f>SUM(V23:V25)</f>
        <v>10000000</v>
      </c>
    </row>
    <row r="27" spans="1:22" ht="12" customHeight="1" x14ac:dyDescent="0.15">
      <c r="A27" s="303" t="s">
        <v>257</v>
      </c>
      <c r="B27" s="298"/>
      <c r="C27" s="298" t="s">
        <v>681</v>
      </c>
      <c r="D27" s="298"/>
      <c r="E27" s="303">
        <v>5</v>
      </c>
      <c r="F27" s="298"/>
      <c r="G27" s="315"/>
      <c r="H27" s="315"/>
      <c r="I27" s="315"/>
      <c r="J27" s="315"/>
      <c r="K27" s="315">
        <f t="shared" si="0"/>
        <v>0</v>
      </c>
      <c r="L27" s="315"/>
      <c r="M27" s="316"/>
      <c r="N27" s="317" t="s">
        <v>286</v>
      </c>
      <c r="O27" s="318"/>
      <c r="P27" s="318" t="s">
        <v>682</v>
      </c>
      <c r="Q27" s="318"/>
      <c r="R27" s="319"/>
      <c r="S27" s="318"/>
      <c r="T27" s="320">
        <f>T22+T26</f>
        <v>40000000</v>
      </c>
      <c r="U27" s="320"/>
      <c r="V27" s="271">
        <f>V22+V26</f>
        <v>39500000</v>
      </c>
    </row>
    <row r="28" spans="1:22" ht="12" customHeight="1" x14ac:dyDescent="0.15">
      <c r="A28" s="303" t="s">
        <v>117</v>
      </c>
      <c r="B28" s="298"/>
      <c r="C28" s="298" t="s">
        <v>683</v>
      </c>
      <c r="D28" s="298"/>
      <c r="E28" s="303">
        <v>6</v>
      </c>
      <c r="F28" s="298"/>
      <c r="G28" s="315"/>
      <c r="H28" s="315"/>
      <c r="I28" s="315"/>
      <c r="J28" s="315"/>
      <c r="K28" s="315">
        <f t="shared" si="0"/>
        <v>0</v>
      </c>
      <c r="L28" s="315"/>
      <c r="M28" s="316"/>
      <c r="N28" s="310" t="s">
        <v>287</v>
      </c>
      <c r="P28" s="296" t="s">
        <v>684</v>
      </c>
      <c r="R28" s="311">
        <v>5</v>
      </c>
      <c r="T28" s="313">
        <v>3000000</v>
      </c>
      <c r="U28" s="313"/>
      <c r="V28" s="314">
        <v>2500000</v>
      </c>
    </row>
    <row r="29" spans="1:22" ht="12" customHeight="1" x14ac:dyDescent="0.15">
      <c r="A29" s="303" t="s">
        <v>258</v>
      </c>
      <c r="B29" s="298"/>
      <c r="C29" s="298" t="s">
        <v>685</v>
      </c>
      <c r="D29" s="298"/>
      <c r="E29" s="303"/>
      <c r="F29" s="298"/>
      <c r="G29" s="315"/>
      <c r="H29" s="315"/>
      <c r="I29" s="315"/>
      <c r="J29" s="315"/>
      <c r="K29" s="315">
        <f t="shared" si="0"/>
        <v>0</v>
      </c>
      <c r="L29" s="315"/>
      <c r="M29" s="316"/>
      <c r="N29" s="310" t="s">
        <v>288</v>
      </c>
      <c r="P29" s="296" t="s">
        <v>686</v>
      </c>
      <c r="R29" s="311">
        <v>7</v>
      </c>
      <c r="T29" s="313"/>
      <c r="U29" s="313"/>
      <c r="V29" s="314"/>
    </row>
    <row r="30" spans="1:22" ht="12" customHeight="1" x14ac:dyDescent="0.15">
      <c r="A30" s="311" t="s">
        <v>259</v>
      </c>
      <c r="C30" s="296" t="s">
        <v>687</v>
      </c>
      <c r="E30" s="311">
        <v>17</v>
      </c>
      <c r="G30" s="313">
        <v>1500000</v>
      </c>
      <c r="H30" s="313"/>
      <c r="I30" s="313"/>
      <c r="J30" s="313"/>
      <c r="K30" s="313">
        <f t="shared" si="0"/>
        <v>1500000</v>
      </c>
      <c r="L30" s="313"/>
      <c r="M30" s="314">
        <v>1000000</v>
      </c>
      <c r="N30" s="310" t="s">
        <v>289</v>
      </c>
      <c r="P30" s="296" t="s">
        <v>688</v>
      </c>
      <c r="R30" s="311">
        <v>17</v>
      </c>
      <c r="T30" s="313">
        <v>2000000</v>
      </c>
      <c r="U30" s="313"/>
      <c r="V30" s="314">
        <v>1500000</v>
      </c>
    </row>
    <row r="31" spans="1:22" ht="12" customHeight="1" x14ac:dyDescent="0.15">
      <c r="A31" s="311" t="s">
        <v>260</v>
      </c>
      <c r="C31" s="296" t="s">
        <v>261</v>
      </c>
      <c r="E31" s="311">
        <v>7</v>
      </c>
      <c r="G31" s="313">
        <v>3000000</v>
      </c>
      <c r="H31" s="313"/>
      <c r="I31" s="313"/>
      <c r="J31" s="313"/>
      <c r="K31" s="313">
        <f t="shared" si="0"/>
        <v>3000000</v>
      </c>
      <c r="L31" s="313"/>
      <c r="M31" s="314">
        <v>2500000</v>
      </c>
      <c r="N31" s="310" t="s">
        <v>290</v>
      </c>
      <c r="P31" s="296" t="s">
        <v>689</v>
      </c>
      <c r="R31" s="311">
        <v>18</v>
      </c>
      <c r="T31" s="313">
        <v>1200000</v>
      </c>
      <c r="U31" s="313"/>
      <c r="V31" s="314">
        <v>800000</v>
      </c>
    </row>
    <row r="32" spans="1:22" ht="12" customHeight="1" x14ac:dyDescent="0.15">
      <c r="A32" s="311" t="s">
        <v>262</v>
      </c>
      <c r="C32" s="296" t="s">
        <v>690</v>
      </c>
      <c r="E32" s="311">
        <v>8</v>
      </c>
      <c r="G32" s="313">
        <v>750000</v>
      </c>
      <c r="H32" s="313"/>
      <c r="I32" s="313"/>
      <c r="J32" s="313"/>
      <c r="K32" s="313">
        <f t="shared" si="0"/>
        <v>750000</v>
      </c>
      <c r="L32" s="313"/>
      <c r="M32" s="314">
        <v>500000</v>
      </c>
      <c r="N32" s="310" t="s">
        <v>291</v>
      </c>
      <c r="P32" s="296" t="s">
        <v>691</v>
      </c>
      <c r="R32" s="311">
        <v>19</v>
      </c>
      <c r="T32" s="313"/>
      <c r="U32" s="313"/>
      <c r="V32" s="314"/>
    </row>
    <row r="33" spans="1:22" ht="12" customHeight="1" x14ac:dyDescent="0.15">
      <c r="A33" s="319" t="s">
        <v>263</v>
      </c>
      <c r="B33" s="318"/>
      <c r="C33" s="318" t="s">
        <v>692</v>
      </c>
      <c r="D33" s="318"/>
      <c r="E33" s="319"/>
      <c r="F33" s="318"/>
      <c r="G33" s="320">
        <f>SUM(G27:G32)</f>
        <v>5250000</v>
      </c>
      <c r="H33" s="320"/>
      <c r="I33" s="320">
        <f>SUM(I27:I32)</f>
        <v>0</v>
      </c>
      <c r="J33" s="320"/>
      <c r="K33" s="320">
        <f t="shared" si="0"/>
        <v>5250000</v>
      </c>
      <c r="L33" s="320"/>
      <c r="M33" s="271">
        <f>SUM(M27:M32)</f>
        <v>4000000</v>
      </c>
      <c r="N33" s="310" t="s">
        <v>292</v>
      </c>
      <c r="P33" s="296" t="s">
        <v>693</v>
      </c>
      <c r="R33" s="311">
        <v>19</v>
      </c>
      <c r="T33" s="313"/>
      <c r="U33" s="313"/>
      <c r="V33" s="314"/>
    </row>
    <row r="34" spans="1:22" ht="12" customHeight="1" x14ac:dyDescent="0.15">
      <c r="A34" s="311" t="s">
        <v>264</v>
      </c>
      <c r="C34" s="296" t="s">
        <v>694</v>
      </c>
      <c r="E34" s="311">
        <v>9</v>
      </c>
      <c r="G34" s="313"/>
      <c r="H34" s="313"/>
      <c r="I34" s="313"/>
      <c r="J34" s="313"/>
      <c r="K34" s="313">
        <f t="shared" si="0"/>
        <v>0</v>
      </c>
      <c r="L34" s="313"/>
      <c r="M34" s="314"/>
      <c r="N34" s="317" t="s">
        <v>293</v>
      </c>
      <c r="O34" s="318"/>
      <c r="P34" s="318" t="s">
        <v>695</v>
      </c>
      <c r="Q34" s="318"/>
      <c r="R34" s="319"/>
      <c r="S34" s="318"/>
      <c r="T34" s="320">
        <f>SUM(T28:T33)</f>
        <v>6200000</v>
      </c>
      <c r="U34" s="320"/>
      <c r="V34" s="271">
        <f>SUM(V28:V33)</f>
        <v>4800000</v>
      </c>
    </row>
    <row r="35" spans="1:22" ht="12" customHeight="1" x14ac:dyDescent="0.15">
      <c r="A35" s="311" t="s">
        <v>265</v>
      </c>
      <c r="C35" s="296" t="s">
        <v>696</v>
      </c>
      <c r="E35" s="311">
        <v>10</v>
      </c>
      <c r="G35" s="313"/>
      <c r="H35" s="313"/>
      <c r="I35" s="313"/>
      <c r="J35" s="313"/>
      <c r="K35" s="313">
        <f t="shared" si="0"/>
        <v>0</v>
      </c>
      <c r="L35" s="313"/>
      <c r="M35" s="314"/>
      <c r="N35" s="310" t="s">
        <v>294</v>
      </c>
      <c r="P35" s="296" t="s">
        <v>697</v>
      </c>
      <c r="R35" s="311">
        <v>20</v>
      </c>
      <c r="T35" s="313">
        <v>500000</v>
      </c>
      <c r="U35" s="313"/>
      <c r="V35" s="314">
        <v>350000</v>
      </c>
    </row>
    <row r="36" spans="1:22" ht="12" customHeight="1" x14ac:dyDescent="0.15">
      <c r="A36" s="311" t="s">
        <v>266</v>
      </c>
      <c r="C36" s="296" t="s">
        <v>698</v>
      </c>
      <c r="E36" s="311">
        <v>11</v>
      </c>
      <c r="G36" s="313">
        <v>4500000</v>
      </c>
      <c r="H36" s="313"/>
      <c r="I36" s="313"/>
      <c r="J36" s="313"/>
      <c r="K36" s="313">
        <f t="shared" si="0"/>
        <v>4500000</v>
      </c>
      <c r="L36" s="313"/>
      <c r="M36" s="314">
        <v>3500000</v>
      </c>
      <c r="N36" s="310" t="s">
        <v>295</v>
      </c>
      <c r="P36" s="296" t="s">
        <v>699</v>
      </c>
      <c r="R36" s="311">
        <v>20</v>
      </c>
      <c r="T36" s="313"/>
      <c r="U36" s="313"/>
      <c r="V36" s="314"/>
    </row>
    <row r="37" spans="1:22" ht="12" customHeight="1" x14ac:dyDescent="0.15">
      <c r="A37" s="319" t="s">
        <v>267</v>
      </c>
      <c r="B37" s="318"/>
      <c r="C37" s="318" t="s">
        <v>700</v>
      </c>
      <c r="D37" s="318"/>
      <c r="E37" s="319"/>
      <c r="F37" s="318"/>
      <c r="G37" s="320">
        <f>SUM(G34:G36)</f>
        <v>4500000</v>
      </c>
      <c r="H37" s="320"/>
      <c r="I37" s="320">
        <f>SUM(I34:I36)</f>
        <v>0</v>
      </c>
      <c r="J37" s="320"/>
      <c r="K37" s="320">
        <f t="shared" si="0"/>
        <v>4500000</v>
      </c>
      <c r="L37" s="320"/>
      <c r="M37" s="271">
        <f>SUM(M34:M36)</f>
        <v>3500000</v>
      </c>
      <c r="N37" s="317" t="s">
        <v>296</v>
      </c>
      <c r="O37" s="318"/>
      <c r="P37" s="318" t="s">
        <v>701</v>
      </c>
      <c r="Q37" s="318"/>
      <c r="R37" s="319"/>
      <c r="S37" s="318"/>
      <c r="T37" s="320">
        <f>SUM(T35:T36)</f>
        <v>500000</v>
      </c>
      <c r="U37" s="320"/>
      <c r="V37" s="271">
        <f>SUM(V35:V36)</f>
        <v>350000</v>
      </c>
    </row>
    <row r="38" spans="1:22" ht="12" customHeight="1" x14ac:dyDescent="0.15">
      <c r="A38" s="311" t="s">
        <v>268</v>
      </c>
      <c r="C38" s="296" t="s">
        <v>702</v>
      </c>
      <c r="E38" s="311">
        <v>12</v>
      </c>
      <c r="G38" s="313"/>
      <c r="H38" s="313"/>
      <c r="I38" s="313"/>
      <c r="J38" s="313"/>
      <c r="K38" s="313">
        <f t="shared" si="0"/>
        <v>0</v>
      </c>
      <c r="L38" s="313"/>
      <c r="M38" s="314"/>
      <c r="N38" s="310" t="s">
        <v>703</v>
      </c>
      <c r="P38" s="296" t="s">
        <v>704</v>
      </c>
      <c r="R38" s="311">
        <v>12</v>
      </c>
      <c r="T38" s="313"/>
      <c r="U38" s="313"/>
      <c r="V38" s="314"/>
    </row>
    <row r="39" spans="1:22" ht="12" customHeight="1" thickBot="1" x14ac:dyDescent="0.2">
      <c r="A39" s="321" t="s">
        <v>269</v>
      </c>
      <c r="B39" s="322"/>
      <c r="C39" s="322" t="s">
        <v>705</v>
      </c>
      <c r="D39" s="322"/>
      <c r="E39" s="321"/>
      <c r="F39" s="322"/>
      <c r="G39" s="323">
        <f>G38+G37+G33+G26</f>
        <v>35680000</v>
      </c>
      <c r="H39" s="323"/>
      <c r="I39" s="323">
        <f>I38+I37+I33+I26</f>
        <v>0</v>
      </c>
      <c r="J39" s="323"/>
      <c r="K39" s="323">
        <f t="shared" si="0"/>
        <v>35680000</v>
      </c>
      <c r="L39" s="323"/>
      <c r="M39" s="324">
        <f>M26+M33+M37+M38</f>
        <v>35830000</v>
      </c>
      <c r="N39" s="325" t="s">
        <v>297</v>
      </c>
      <c r="O39" s="322"/>
      <c r="P39" s="322" t="s">
        <v>705</v>
      </c>
      <c r="Q39" s="322"/>
      <c r="R39" s="321"/>
      <c r="S39" s="322"/>
      <c r="T39" s="323">
        <f>T27+T34+T37+T38</f>
        <v>46700000</v>
      </c>
      <c r="U39" s="323"/>
      <c r="V39" s="324">
        <f>V27+V34+V37+V38</f>
        <v>44650000</v>
      </c>
    </row>
    <row r="40" spans="1:22" ht="12" customHeight="1" thickTop="1" x14ac:dyDescent="0.15"/>
    <row r="41" spans="1:22" ht="12" customHeight="1" x14ac:dyDescent="0.15"/>
    <row r="42" spans="1:22" ht="12" customHeight="1" x14ac:dyDescent="0.25">
      <c r="C42" s="375" t="s">
        <v>946</v>
      </c>
      <c r="D42"/>
      <c r="E42"/>
      <c r="F42"/>
      <c r="G42"/>
      <c r="H42"/>
      <c r="I42"/>
      <c r="J42"/>
      <c r="K42"/>
      <c r="P42" s="333">
        <f>K39-T39</f>
        <v>-11020000</v>
      </c>
    </row>
    <row r="43" spans="1:22" ht="12" customHeight="1" x14ac:dyDescent="0.25">
      <c r="C43" s="326" t="s">
        <v>949</v>
      </c>
      <c r="D43" s="263"/>
      <c r="E43" s="263"/>
      <c r="F43" s="263"/>
      <c r="G43" s="263"/>
      <c r="H43" s="263"/>
      <c r="I43" s="263"/>
      <c r="J43" s="263"/>
      <c r="K43" s="263">
        <v>0</v>
      </c>
    </row>
    <row r="44" spans="1:22" ht="12" customHeight="1" x14ac:dyDescent="0.25">
      <c r="C44" s="326" t="s">
        <v>947</v>
      </c>
      <c r="D44"/>
      <c r="E44"/>
      <c r="F44"/>
      <c r="G44"/>
      <c r="H44"/>
      <c r="I44"/>
      <c r="J44"/>
      <c r="K44" s="263">
        <v>0</v>
      </c>
    </row>
    <row r="45" spans="1:22" ht="12" customHeight="1" x14ac:dyDescent="0.25">
      <c r="C45" s="326" t="s">
        <v>943</v>
      </c>
      <c r="D45" s="263"/>
      <c r="E45" s="263"/>
      <c r="F45" s="263"/>
      <c r="G45" s="263"/>
      <c r="H45" s="263"/>
      <c r="I45" s="263"/>
      <c r="J45" s="263"/>
      <c r="K45" s="263">
        <v>0</v>
      </c>
    </row>
    <row r="46" spans="1:22" ht="15" x14ac:dyDescent="0.25">
      <c r="C46" s="326" t="s">
        <v>944</v>
      </c>
      <c r="D46" s="263"/>
      <c r="E46" s="263"/>
      <c r="F46" s="263"/>
      <c r="G46" s="263"/>
      <c r="H46" s="263"/>
      <c r="I46" s="263"/>
      <c r="J46" s="263"/>
      <c r="K46" s="263">
        <v>0</v>
      </c>
    </row>
    <row r="47" spans="1:22" ht="15" x14ac:dyDescent="0.25">
      <c r="C47" s="326" t="s">
        <v>945</v>
      </c>
      <c r="D47" s="263"/>
      <c r="E47" s="263"/>
      <c r="F47" s="263"/>
      <c r="G47" s="263"/>
      <c r="H47" s="263"/>
      <c r="I47" s="263"/>
      <c r="J47" s="263"/>
      <c r="K47" s="263">
        <v>0</v>
      </c>
    </row>
    <row r="48" spans="1:22" ht="15" x14ac:dyDescent="0.25">
      <c r="C48" s="326" t="s">
        <v>948</v>
      </c>
      <c r="D48"/>
      <c r="E48"/>
      <c r="F48"/>
      <c r="G48"/>
      <c r="H48"/>
      <c r="I48"/>
      <c r="J48"/>
      <c r="K48" s="263">
        <v>0</v>
      </c>
    </row>
    <row r="49" spans="3:14" ht="15" x14ac:dyDescent="0.25">
      <c r="C49" s="326" t="s">
        <v>986</v>
      </c>
      <c r="K49" s="263">
        <v>0</v>
      </c>
      <c r="L49" s="263"/>
      <c r="M49" s="263">
        <v>0</v>
      </c>
      <c r="N49" s="263"/>
    </row>
  </sheetData>
  <mergeCells count="14">
    <mergeCell ref="P7:P10"/>
    <mergeCell ref="R7:R10"/>
    <mergeCell ref="G8:G10"/>
    <mergeCell ref="K8:K10"/>
    <mergeCell ref="A7:A10"/>
    <mergeCell ref="C7:C10"/>
    <mergeCell ref="E7:E10"/>
    <mergeCell ref="G7:K7"/>
    <mergeCell ref="N7:N10"/>
    <mergeCell ref="D2:M2"/>
    <mergeCell ref="D3:M3"/>
    <mergeCell ref="Q2:T2"/>
    <mergeCell ref="Q3:T3"/>
    <mergeCell ref="A5:V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showGridLines="0" topLeftCell="B1" workbookViewId="0">
      <selection activeCell="K10" sqref="K10"/>
    </sheetView>
  </sheetViews>
  <sheetFormatPr baseColWidth="10" defaultColWidth="2.28515625" defaultRowHeight="10.5" x14ac:dyDescent="0.15"/>
  <cols>
    <col min="1" max="1" width="3.7109375" style="296" bestFit="1" customWidth="1"/>
    <col min="2" max="2" width="1.7109375" style="296" customWidth="1"/>
    <col min="3" max="3" width="21.7109375" style="296" customWidth="1"/>
    <col min="4" max="4" width="18.5703125" style="296" customWidth="1"/>
    <col min="5" max="5" width="2.140625" style="296" bestFit="1" customWidth="1"/>
    <col min="6" max="6" width="3.140625" style="296" bestFit="1" customWidth="1"/>
    <col min="7" max="7" width="6.140625" style="296" bestFit="1" customWidth="1"/>
    <col min="8" max="8" width="1.7109375" style="296" customWidth="1"/>
    <col min="9" max="9" width="13.7109375" style="296" customWidth="1"/>
    <col min="10" max="10" width="1.7109375" style="296" customWidth="1"/>
    <col min="11" max="11" width="13.7109375" style="296" customWidth="1"/>
    <col min="12" max="256" width="2.28515625" style="296"/>
    <col min="257" max="257" width="3.7109375" style="296" bestFit="1" customWidth="1"/>
    <col min="258" max="258" width="1.7109375" style="296" customWidth="1"/>
    <col min="259" max="259" width="21.7109375" style="296" customWidth="1"/>
    <col min="260" max="260" width="18.5703125" style="296" customWidth="1"/>
    <col min="261" max="261" width="2.140625" style="296" bestFit="1" customWidth="1"/>
    <col min="262" max="262" width="3.140625" style="296" bestFit="1" customWidth="1"/>
    <col min="263" max="263" width="6.140625" style="296" bestFit="1" customWidth="1"/>
    <col min="264" max="264" width="1.7109375" style="296" customWidth="1"/>
    <col min="265" max="265" width="13.7109375" style="296" customWidth="1"/>
    <col min="266" max="266" width="1.7109375" style="296" customWidth="1"/>
    <col min="267" max="267" width="13.7109375" style="296" customWidth="1"/>
    <col min="268" max="512" width="2.28515625" style="296"/>
    <col min="513" max="513" width="3.7109375" style="296" bestFit="1" customWidth="1"/>
    <col min="514" max="514" width="1.7109375" style="296" customWidth="1"/>
    <col min="515" max="515" width="21.7109375" style="296" customWidth="1"/>
    <col min="516" max="516" width="18.5703125" style="296" customWidth="1"/>
    <col min="517" max="517" width="2.140625" style="296" bestFit="1" customWidth="1"/>
    <col min="518" max="518" width="3.140625" style="296" bestFit="1" customWidth="1"/>
    <col min="519" max="519" width="6.140625" style="296" bestFit="1" customWidth="1"/>
    <col min="520" max="520" width="1.7109375" style="296" customWidth="1"/>
    <col min="521" max="521" width="13.7109375" style="296" customWidth="1"/>
    <col min="522" max="522" width="1.7109375" style="296" customWidth="1"/>
    <col min="523" max="523" width="13.7109375" style="296" customWidth="1"/>
    <col min="524" max="768" width="2.28515625" style="296"/>
    <col min="769" max="769" width="3.7109375" style="296" bestFit="1" customWidth="1"/>
    <col min="770" max="770" width="1.7109375" style="296" customWidth="1"/>
    <col min="771" max="771" width="21.7109375" style="296" customWidth="1"/>
    <col min="772" max="772" width="18.5703125" style="296" customWidth="1"/>
    <col min="773" max="773" width="2.140625" style="296" bestFit="1" customWidth="1"/>
    <col min="774" max="774" width="3.140625" style="296" bestFit="1" customWidth="1"/>
    <col min="775" max="775" width="6.140625" style="296" bestFit="1" customWidth="1"/>
    <col min="776" max="776" width="1.7109375" style="296" customWidth="1"/>
    <col min="777" max="777" width="13.7109375" style="296" customWidth="1"/>
    <col min="778" max="778" width="1.7109375" style="296" customWidth="1"/>
    <col min="779" max="779" width="13.7109375" style="296" customWidth="1"/>
    <col min="780" max="1024" width="2.28515625" style="296"/>
    <col min="1025" max="1025" width="3.7109375" style="296" bestFit="1" customWidth="1"/>
    <col min="1026" max="1026" width="1.7109375" style="296" customWidth="1"/>
    <col min="1027" max="1027" width="21.7109375" style="296" customWidth="1"/>
    <col min="1028" max="1028" width="18.5703125" style="296" customWidth="1"/>
    <col min="1029" max="1029" width="2.140625" style="296" bestFit="1" customWidth="1"/>
    <col min="1030" max="1030" width="3.140625" style="296" bestFit="1" customWidth="1"/>
    <col min="1031" max="1031" width="6.140625" style="296" bestFit="1" customWidth="1"/>
    <col min="1032" max="1032" width="1.7109375" style="296" customWidth="1"/>
    <col min="1033" max="1033" width="13.7109375" style="296" customWidth="1"/>
    <col min="1034" max="1034" width="1.7109375" style="296" customWidth="1"/>
    <col min="1035" max="1035" width="13.7109375" style="296" customWidth="1"/>
    <col min="1036" max="1280" width="2.28515625" style="296"/>
    <col min="1281" max="1281" width="3.7109375" style="296" bestFit="1" customWidth="1"/>
    <col min="1282" max="1282" width="1.7109375" style="296" customWidth="1"/>
    <col min="1283" max="1283" width="21.7109375" style="296" customWidth="1"/>
    <col min="1284" max="1284" width="18.5703125" style="296" customWidth="1"/>
    <col min="1285" max="1285" width="2.140625" style="296" bestFit="1" customWidth="1"/>
    <col min="1286" max="1286" width="3.140625" style="296" bestFit="1" customWidth="1"/>
    <col min="1287" max="1287" width="6.140625" style="296" bestFit="1" customWidth="1"/>
    <col min="1288" max="1288" width="1.7109375" style="296" customWidth="1"/>
    <col min="1289" max="1289" width="13.7109375" style="296" customWidth="1"/>
    <col min="1290" max="1290" width="1.7109375" style="296" customWidth="1"/>
    <col min="1291" max="1291" width="13.7109375" style="296" customWidth="1"/>
    <col min="1292" max="1536" width="2.28515625" style="296"/>
    <col min="1537" max="1537" width="3.7109375" style="296" bestFit="1" customWidth="1"/>
    <col min="1538" max="1538" width="1.7109375" style="296" customWidth="1"/>
    <col min="1539" max="1539" width="21.7109375" style="296" customWidth="1"/>
    <col min="1540" max="1540" width="18.5703125" style="296" customWidth="1"/>
    <col min="1541" max="1541" width="2.140625" style="296" bestFit="1" customWidth="1"/>
    <col min="1542" max="1542" width="3.140625" style="296" bestFit="1" customWidth="1"/>
    <col min="1543" max="1543" width="6.140625" style="296" bestFit="1" customWidth="1"/>
    <col min="1544" max="1544" width="1.7109375" style="296" customWidth="1"/>
    <col min="1545" max="1545" width="13.7109375" style="296" customWidth="1"/>
    <col min="1546" max="1546" width="1.7109375" style="296" customWidth="1"/>
    <col min="1547" max="1547" width="13.7109375" style="296" customWidth="1"/>
    <col min="1548" max="1792" width="2.28515625" style="296"/>
    <col min="1793" max="1793" width="3.7109375" style="296" bestFit="1" customWidth="1"/>
    <col min="1794" max="1794" width="1.7109375" style="296" customWidth="1"/>
    <col min="1795" max="1795" width="21.7109375" style="296" customWidth="1"/>
    <col min="1796" max="1796" width="18.5703125" style="296" customWidth="1"/>
    <col min="1797" max="1797" width="2.140625" style="296" bestFit="1" customWidth="1"/>
    <col min="1798" max="1798" width="3.140625" style="296" bestFit="1" customWidth="1"/>
    <col min="1799" max="1799" width="6.140625" style="296" bestFit="1" customWidth="1"/>
    <col min="1800" max="1800" width="1.7109375" style="296" customWidth="1"/>
    <col min="1801" max="1801" width="13.7109375" style="296" customWidth="1"/>
    <col min="1802" max="1802" width="1.7109375" style="296" customWidth="1"/>
    <col min="1803" max="1803" width="13.7109375" style="296" customWidth="1"/>
    <col min="1804" max="2048" width="2.28515625" style="296"/>
    <col min="2049" max="2049" width="3.7109375" style="296" bestFit="1" customWidth="1"/>
    <col min="2050" max="2050" width="1.7109375" style="296" customWidth="1"/>
    <col min="2051" max="2051" width="21.7109375" style="296" customWidth="1"/>
    <col min="2052" max="2052" width="18.5703125" style="296" customWidth="1"/>
    <col min="2053" max="2053" width="2.140625" style="296" bestFit="1" customWidth="1"/>
    <col min="2054" max="2054" width="3.140625" style="296" bestFit="1" customWidth="1"/>
    <col min="2055" max="2055" width="6.140625" style="296" bestFit="1" customWidth="1"/>
    <col min="2056" max="2056" width="1.7109375" style="296" customWidth="1"/>
    <col min="2057" max="2057" width="13.7109375" style="296" customWidth="1"/>
    <col min="2058" max="2058" width="1.7109375" style="296" customWidth="1"/>
    <col min="2059" max="2059" width="13.7109375" style="296" customWidth="1"/>
    <col min="2060" max="2304" width="2.28515625" style="296"/>
    <col min="2305" max="2305" width="3.7109375" style="296" bestFit="1" customWidth="1"/>
    <col min="2306" max="2306" width="1.7109375" style="296" customWidth="1"/>
    <col min="2307" max="2307" width="21.7109375" style="296" customWidth="1"/>
    <col min="2308" max="2308" width="18.5703125" style="296" customWidth="1"/>
    <col min="2309" max="2309" width="2.140625" style="296" bestFit="1" customWidth="1"/>
    <col min="2310" max="2310" width="3.140625" style="296" bestFit="1" customWidth="1"/>
    <col min="2311" max="2311" width="6.140625" style="296" bestFit="1" customWidth="1"/>
    <col min="2312" max="2312" width="1.7109375" style="296" customWidth="1"/>
    <col min="2313" max="2313" width="13.7109375" style="296" customWidth="1"/>
    <col min="2314" max="2314" width="1.7109375" style="296" customWidth="1"/>
    <col min="2315" max="2315" width="13.7109375" style="296" customWidth="1"/>
    <col min="2316" max="2560" width="2.28515625" style="296"/>
    <col min="2561" max="2561" width="3.7109375" style="296" bestFit="1" customWidth="1"/>
    <col min="2562" max="2562" width="1.7109375" style="296" customWidth="1"/>
    <col min="2563" max="2563" width="21.7109375" style="296" customWidth="1"/>
    <col min="2564" max="2564" width="18.5703125" style="296" customWidth="1"/>
    <col min="2565" max="2565" width="2.140625" style="296" bestFit="1" customWidth="1"/>
    <col min="2566" max="2566" width="3.140625" style="296" bestFit="1" customWidth="1"/>
    <col min="2567" max="2567" width="6.140625" style="296" bestFit="1" customWidth="1"/>
    <col min="2568" max="2568" width="1.7109375" style="296" customWidth="1"/>
    <col min="2569" max="2569" width="13.7109375" style="296" customWidth="1"/>
    <col min="2570" max="2570" width="1.7109375" style="296" customWidth="1"/>
    <col min="2571" max="2571" width="13.7109375" style="296" customWidth="1"/>
    <col min="2572" max="2816" width="2.28515625" style="296"/>
    <col min="2817" max="2817" width="3.7109375" style="296" bestFit="1" customWidth="1"/>
    <col min="2818" max="2818" width="1.7109375" style="296" customWidth="1"/>
    <col min="2819" max="2819" width="21.7109375" style="296" customWidth="1"/>
    <col min="2820" max="2820" width="18.5703125" style="296" customWidth="1"/>
    <col min="2821" max="2821" width="2.140625" style="296" bestFit="1" customWidth="1"/>
    <col min="2822" max="2822" width="3.140625" style="296" bestFit="1" customWidth="1"/>
    <col min="2823" max="2823" width="6.140625" style="296" bestFit="1" customWidth="1"/>
    <col min="2824" max="2824" width="1.7109375" style="296" customWidth="1"/>
    <col min="2825" max="2825" width="13.7109375" style="296" customWidth="1"/>
    <col min="2826" max="2826" width="1.7109375" style="296" customWidth="1"/>
    <col min="2827" max="2827" width="13.7109375" style="296" customWidth="1"/>
    <col min="2828" max="3072" width="2.28515625" style="296"/>
    <col min="3073" max="3073" width="3.7109375" style="296" bestFit="1" customWidth="1"/>
    <col min="3074" max="3074" width="1.7109375" style="296" customWidth="1"/>
    <col min="3075" max="3075" width="21.7109375" style="296" customWidth="1"/>
    <col min="3076" max="3076" width="18.5703125" style="296" customWidth="1"/>
    <col min="3077" max="3077" width="2.140625" style="296" bestFit="1" customWidth="1"/>
    <col min="3078" max="3078" width="3.140625" style="296" bestFit="1" customWidth="1"/>
    <col min="3079" max="3079" width="6.140625" style="296" bestFit="1" customWidth="1"/>
    <col min="3080" max="3080" width="1.7109375" style="296" customWidth="1"/>
    <col min="3081" max="3081" width="13.7109375" style="296" customWidth="1"/>
    <col min="3082" max="3082" width="1.7109375" style="296" customWidth="1"/>
    <col min="3083" max="3083" width="13.7109375" style="296" customWidth="1"/>
    <col min="3084" max="3328" width="2.28515625" style="296"/>
    <col min="3329" max="3329" width="3.7109375" style="296" bestFit="1" customWidth="1"/>
    <col min="3330" max="3330" width="1.7109375" style="296" customWidth="1"/>
    <col min="3331" max="3331" width="21.7109375" style="296" customWidth="1"/>
    <col min="3332" max="3332" width="18.5703125" style="296" customWidth="1"/>
    <col min="3333" max="3333" width="2.140625" style="296" bestFit="1" customWidth="1"/>
    <col min="3334" max="3334" width="3.140625" style="296" bestFit="1" customWidth="1"/>
    <col min="3335" max="3335" width="6.140625" style="296" bestFit="1" customWidth="1"/>
    <col min="3336" max="3336" width="1.7109375" style="296" customWidth="1"/>
    <col min="3337" max="3337" width="13.7109375" style="296" customWidth="1"/>
    <col min="3338" max="3338" width="1.7109375" style="296" customWidth="1"/>
    <col min="3339" max="3339" width="13.7109375" style="296" customWidth="1"/>
    <col min="3340" max="3584" width="2.28515625" style="296"/>
    <col min="3585" max="3585" width="3.7109375" style="296" bestFit="1" customWidth="1"/>
    <col min="3586" max="3586" width="1.7109375" style="296" customWidth="1"/>
    <col min="3587" max="3587" width="21.7109375" style="296" customWidth="1"/>
    <col min="3588" max="3588" width="18.5703125" style="296" customWidth="1"/>
    <col min="3589" max="3589" width="2.140625" style="296" bestFit="1" customWidth="1"/>
    <col min="3590" max="3590" width="3.140625" style="296" bestFit="1" customWidth="1"/>
    <col min="3591" max="3591" width="6.140625" style="296" bestFit="1" customWidth="1"/>
    <col min="3592" max="3592" width="1.7109375" style="296" customWidth="1"/>
    <col min="3593" max="3593" width="13.7109375" style="296" customWidth="1"/>
    <col min="3594" max="3594" width="1.7109375" style="296" customWidth="1"/>
    <col min="3595" max="3595" width="13.7109375" style="296" customWidth="1"/>
    <col min="3596" max="3840" width="2.28515625" style="296"/>
    <col min="3841" max="3841" width="3.7109375" style="296" bestFit="1" customWidth="1"/>
    <col min="3842" max="3842" width="1.7109375" style="296" customWidth="1"/>
    <col min="3843" max="3843" width="21.7109375" style="296" customWidth="1"/>
    <col min="3844" max="3844" width="18.5703125" style="296" customWidth="1"/>
    <col min="3845" max="3845" width="2.140625" style="296" bestFit="1" customWidth="1"/>
    <col min="3846" max="3846" width="3.140625" style="296" bestFit="1" customWidth="1"/>
    <col min="3847" max="3847" width="6.140625" style="296" bestFit="1" customWidth="1"/>
    <col min="3848" max="3848" width="1.7109375" style="296" customWidth="1"/>
    <col min="3849" max="3849" width="13.7109375" style="296" customWidth="1"/>
    <col min="3850" max="3850" width="1.7109375" style="296" customWidth="1"/>
    <col min="3851" max="3851" width="13.7109375" style="296" customWidth="1"/>
    <col min="3852" max="4096" width="2.28515625" style="296"/>
    <col min="4097" max="4097" width="3.7109375" style="296" bestFit="1" customWidth="1"/>
    <col min="4098" max="4098" width="1.7109375" style="296" customWidth="1"/>
    <col min="4099" max="4099" width="21.7109375" style="296" customWidth="1"/>
    <col min="4100" max="4100" width="18.5703125" style="296" customWidth="1"/>
    <col min="4101" max="4101" width="2.140625" style="296" bestFit="1" customWidth="1"/>
    <col min="4102" max="4102" width="3.140625" style="296" bestFit="1" customWidth="1"/>
    <col min="4103" max="4103" width="6.140625" style="296" bestFit="1" customWidth="1"/>
    <col min="4104" max="4104" width="1.7109375" style="296" customWidth="1"/>
    <col min="4105" max="4105" width="13.7109375" style="296" customWidth="1"/>
    <col min="4106" max="4106" width="1.7109375" style="296" customWidth="1"/>
    <col min="4107" max="4107" width="13.7109375" style="296" customWidth="1"/>
    <col min="4108" max="4352" width="2.28515625" style="296"/>
    <col min="4353" max="4353" width="3.7109375" style="296" bestFit="1" customWidth="1"/>
    <col min="4354" max="4354" width="1.7109375" style="296" customWidth="1"/>
    <col min="4355" max="4355" width="21.7109375" style="296" customWidth="1"/>
    <col min="4356" max="4356" width="18.5703125" style="296" customWidth="1"/>
    <col min="4357" max="4357" width="2.140625" style="296" bestFit="1" customWidth="1"/>
    <col min="4358" max="4358" width="3.140625" style="296" bestFit="1" customWidth="1"/>
    <col min="4359" max="4359" width="6.140625" style="296" bestFit="1" customWidth="1"/>
    <col min="4360" max="4360" width="1.7109375" style="296" customWidth="1"/>
    <col min="4361" max="4361" width="13.7109375" style="296" customWidth="1"/>
    <col min="4362" max="4362" width="1.7109375" style="296" customWidth="1"/>
    <col min="4363" max="4363" width="13.7109375" style="296" customWidth="1"/>
    <col min="4364" max="4608" width="2.28515625" style="296"/>
    <col min="4609" max="4609" width="3.7109375" style="296" bestFit="1" customWidth="1"/>
    <col min="4610" max="4610" width="1.7109375" style="296" customWidth="1"/>
    <col min="4611" max="4611" width="21.7109375" style="296" customWidth="1"/>
    <col min="4612" max="4612" width="18.5703125" style="296" customWidth="1"/>
    <col min="4613" max="4613" width="2.140625" style="296" bestFit="1" customWidth="1"/>
    <col min="4614" max="4614" width="3.140625" style="296" bestFit="1" customWidth="1"/>
    <col min="4615" max="4615" width="6.140625" style="296" bestFit="1" customWidth="1"/>
    <col min="4616" max="4616" width="1.7109375" style="296" customWidth="1"/>
    <col min="4617" max="4617" width="13.7109375" style="296" customWidth="1"/>
    <col min="4618" max="4618" width="1.7109375" style="296" customWidth="1"/>
    <col min="4619" max="4619" width="13.7109375" style="296" customWidth="1"/>
    <col min="4620" max="4864" width="2.28515625" style="296"/>
    <col min="4865" max="4865" width="3.7109375" style="296" bestFit="1" customWidth="1"/>
    <col min="4866" max="4866" width="1.7109375" style="296" customWidth="1"/>
    <col min="4867" max="4867" width="21.7109375" style="296" customWidth="1"/>
    <col min="4868" max="4868" width="18.5703125" style="296" customWidth="1"/>
    <col min="4869" max="4869" width="2.140625" style="296" bestFit="1" customWidth="1"/>
    <col min="4870" max="4870" width="3.140625" style="296" bestFit="1" customWidth="1"/>
    <col min="4871" max="4871" width="6.140625" style="296" bestFit="1" customWidth="1"/>
    <col min="4872" max="4872" width="1.7109375" style="296" customWidth="1"/>
    <col min="4873" max="4873" width="13.7109375" style="296" customWidth="1"/>
    <col min="4874" max="4874" width="1.7109375" style="296" customWidth="1"/>
    <col min="4875" max="4875" width="13.7109375" style="296" customWidth="1"/>
    <col min="4876" max="5120" width="2.28515625" style="296"/>
    <col min="5121" max="5121" width="3.7109375" style="296" bestFit="1" customWidth="1"/>
    <col min="5122" max="5122" width="1.7109375" style="296" customWidth="1"/>
    <col min="5123" max="5123" width="21.7109375" style="296" customWidth="1"/>
    <col min="5124" max="5124" width="18.5703125" style="296" customWidth="1"/>
    <col min="5125" max="5125" width="2.140625" style="296" bestFit="1" customWidth="1"/>
    <col min="5126" max="5126" width="3.140625" style="296" bestFit="1" customWidth="1"/>
    <col min="5127" max="5127" width="6.140625" style="296" bestFit="1" customWidth="1"/>
    <col min="5128" max="5128" width="1.7109375" style="296" customWidth="1"/>
    <col min="5129" max="5129" width="13.7109375" style="296" customWidth="1"/>
    <col min="5130" max="5130" width="1.7109375" style="296" customWidth="1"/>
    <col min="5131" max="5131" width="13.7109375" style="296" customWidth="1"/>
    <col min="5132" max="5376" width="2.28515625" style="296"/>
    <col min="5377" max="5377" width="3.7109375" style="296" bestFit="1" customWidth="1"/>
    <col min="5378" max="5378" width="1.7109375" style="296" customWidth="1"/>
    <col min="5379" max="5379" width="21.7109375" style="296" customWidth="1"/>
    <col min="5380" max="5380" width="18.5703125" style="296" customWidth="1"/>
    <col min="5381" max="5381" width="2.140625" style="296" bestFit="1" customWidth="1"/>
    <col min="5382" max="5382" width="3.140625" style="296" bestFit="1" customWidth="1"/>
    <col min="5383" max="5383" width="6.140625" style="296" bestFit="1" customWidth="1"/>
    <col min="5384" max="5384" width="1.7109375" style="296" customWidth="1"/>
    <col min="5385" max="5385" width="13.7109375" style="296" customWidth="1"/>
    <col min="5386" max="5386" width="1.7109375" style="296" customWidth="1"/>
    <col min="5387" max="5387" width="13.7109375" style="296" customWidth="1"/>
    <col min="5388" max="5632" width="2.28515625" style="296"/>
    <col min="5633" max="5633" width="3.7109375" style="296" bestFit="1" customWidth="1"/>
    <col min="5634" max="5634" width="1.7109375" style="296" customWidth="1"/>
    <col min="5635" max="5635" width="21.7109375" style="296" customWidth="1"/>
    <col min="5636" max="5636" width="18.5703125" style="296" customWidth="1"/>
    <col min="5637" max="5637" width="2.140625" style="296" bestFit="1" customWidth="1"/>
    <col min="5638" max="5638" width="3.140625" style="296" bestFit="1" customWidth="1"/>
    <col min="5639" max="5639" width="6.140625" style="296" bestFit="1" customWidth="1"/>
    <col min="5640" max="5640" width="1.7109375" style="296" customWidth="1"/>
    <col min="5641" max="5641" width="13.7109375" style="296" customWidth="1"/>
    <col min="5642" max="5642" width="1.7109375" style="296" customWidth="1"/>
    <col min="5643" max="5643" width="13.7109375" style="296" customWidth="1"/>
    <col min="5644" max="5888" width="2.28515625" style="296"/>
    <col min="5889" max="5889" width="3.7109375" style="296" bestFit="1" customWidth="1"/>
    <col min="5890" max="5890" width="1.7109375" style="296" customWidth="1"/>
    <col min="5891" max="5891" width="21.7109375" style="296" customWidth="1"/>
    <col min="5892" max="5892" width="18.5703125" style="296" customWidth="1"/>
    <col min="5893" max="5893" width="2.140625" style="296" bestFit="1" customWidth="1"/>
    <col min="5894" max="5894" width="3.140625" style="296" bestFit="1" customWidth="1"/>
    <col min="5895" max="5895" width="6.140625" style="296" bestFit="1" customWidth="1"/>
    <col min="5896" max="5896" width="1.7109375" style="296" customWidth="1"/>
    <col min="5897" max="5897" width="13.7109375" style="296" customWidth="1"/>
    <col min="5898" max="5898" width="1.7109375" style="296" customWidth="1"/>
    <col min="5899" max="5899" width="13.7109375" style="296" customWidth="1"/>
    <col min="5900" max="6144" width="2.28515625" style="296"/>
    <col min="6145" max="6145" width="3.7109375" style="296" bestFit="1" customWidth="1"/>
    <col min="6146" max="6146" width="1.7109375" style="296" customWidth="1"/>
    <col min="6147" max="6147" width="21.7109375" style="296" customWidth="1"/>
    <col min="6148" max="6148" width="18.5703125" style="296" customWidth="1"/>
    <col min="6149" max="6149" width="2.140625" style="296" bestFit="1" customWidth="1"/>
    <col min="6150" max="6150" width="3.140625" style="296" bestFit="1" customWidth="1"/>
    <col min="6151" max="6151" width="6.140625" style="296" bestFit="1" customWidth="1"/>
    <col min="6152" max="6152" width="1.7109375" style="296" customWidth="1"/>
    <col min="6153" max="6153" width="13.7109375" style="296" customWidth="1"/>
    <col min="6154" max="6154" width="1.7109375" style="296" customWidth="1"/>
    <col min="6155" max="6155" width="13.7109375" style="296" customWidth="1"/>
    <col min="6156" max="6400" width="2.28515625" style="296"/>
    <col min="6401" max="6401" width="3.7109375" style="296" bestFit="1" customWidth="1"/>
    <col min="6402" max="6402" width="1.7109375" style="296" customWidth="1"/>
    <col min="6403" max="6403" width="21.7109375" style="296" customWidth="1"/>
    <col min="6404" max="6404" width="18.5703125" style="296" customWidth="1"/>
    <col min="6405" max="6405" width="2.140625" style="296" bestFit="1" customWidth="1"/>
    <col min="6406" max="6406" width="3.140625" style="296" bestFit="1" customWidth="1"/>
    <col min="6407" max="6407" width="6.140625" style="296" bestFit="1" customWidth="1"/>
    <col min="6408" max="6408" width="1.7109375" style="296" customWidth="1"/>
    <col min="6409" max="6409" width="13.7109375" style="296" customWidth="1"/>
    <col min="6410" max="6410" width="1.7109375" style="296" customWidth="1"/>
    <col min="6411" max="6411" width="13.7109375" style="296" customWidth="1"/>
    <col min="6412" max="6656" width="2.28515625" style="296"/>
    <col min="6657" max="6657" width="3.7109375" style="296" bestFit="1" customWidth="1"/>
    <col min="6658" max="6658" width="1.7109375" style="296" customWidth="1"/>
    <col min="6659" max="6659" width="21.7109375" style="296" customWidth="1"/>
    <col min="6660" max="6660" width="18.5703125" style="296" customWidth="1"/>
    <col min="6661" max="6661" width="2.140625" style="296" bestFit="1" customWidth="1"/>
    <col min="6662" max="6662" width="3.140625" style="296" bestFit="1" customWidth="1"/>
    <col min="6663" max="6663" width="6.140625" style="296" bestFit="1" customWidth="1"/>
    <col min="6664" max="6664" width="1.7109375" style="296" customWidth="1"/>
    <col min="6665" max="6665" width="13.7109375" style="296" customWidth="1"/>
    <col min="6666" max="6666" width="1.7109375" style="296" customWidth="1"/>
    <col min="6667" max="6667" width="13.7109375" style="296" customWidth="1"/>
    <col min="6668" max="6912" width="2.28515625" style="296"/>
    <col min="6913" max="6913" width="3.7109375" style="296" bestFit="1" customWidth="1"/>
    <col min="6914" max="6914" width="1.7109375" style="296" customWidth="1"/>
    <col min="6915" max="6915" width="21.7109375" style="296" customWidth="1"/>
    <col min="6916" max="6916" width="18.5703125" style="296" customWidth="1"/>
    <col min="6917" max="6917" width="2.140625" style="296" bestFit="1" customWidth="1"/>
    <col min="6918" max="6918" width="3.140625" style="296" bestFit="1" customWidth="1"/>
    <col min="6919" max="6919" width="6.140625" style="296" bestFit="1" customWidth="1"/>
    <col min="6920" max="6920" width="1.7109375" style="296" customWidth="1"/>
    <col min="6921" max="6921" width="13.7109375" style="296" customWidth="1"/>
    <col min="6922" max="6922" width="1.7109375" style="296" customWidth="1"/>
    <col min="6923" max="6923" width="13.7109375" style="296" customWidth="1"/>
    <col min="6924" max="7168" width="2.28515625" style="296"/>
    <col min="7169" max="7169" width="3.7109375" style="296" bestFit="1" customWidth="1"/>
    <col min="7170" max="7170" width="1.7109375" style="296" customWidth="1"/>
    <col min="7171" max="7171" width="21.7109375" style="296" customWidth="1"/>
    <col min="7172" max="7172" width="18.5703125" style="296" customWidth="1"/>
    <col min="7173" max="7173" width="2.140625" style="296" bestFit="1" customWidth="1"/>
    <col min="7174" max="7174" width="3.140625" style="296" bestFit="1" customWidth="1"/>
    <col min="7175" max="7175" width="6.140625" style="296" bestFit="1" customWidth="1"/>
    <col min="7176" max="7176" width="1.7109375" style="296" customWidth="1"/>
    <col min="7177" max="7177" width="13.7109375" style="296" customWidth="1"/>
    <col min="7178" max="7178" width="1.7109375" style="296" customWidth="1"/>
    <col min="7179" max="7179" width="13.7109375" style="296" customWidth="1"/>
    <col min="7180" max="7424" width="2.28515625" style="296"/>
    <col min="7425" max="7425" width="3.7109375" style="296" bestFit="1" customWidth="1"/>
    <col min="7426" max="7426" width="1.7109375" style="296" customWidth="1"/>
    <col min="7427" max="7427" width="21.7109375" style="296" customWidth="1"/>
    <col min="7428" max="7428" width="18.5703125" style="296" customWidth="1"/>
    <col min="7429" max="7429" width="2.140625" style="296" bestFit="1" customWidth="1"/>
    <col min="7430" max="7430" width="3.140625" style="296" bestFit="1" customWidth="1"/>
    <col min="7431" max="7431" width="6.140625" style="296" bestFit="1" customWidth="1"/>
    <col min="7432" max="7432" width="1.7109375" style="296" customWidth="1"/>
    <col min="7433" max="7433" width="13.7109375" style="296" customWidth="1"/>
    <col min="7434" max="7434" width="1.7109375" style="296" customWidth="1"/>
    <col min="7435" max="7435" width="13.7109375" style="296" customWidth="1"/>
    <col min="7436" max="7680" width="2.28515625" style="296"/>
    <col min="7681" max="7681" width="3.7109375" style="296" bestFit="1" customWidth="1"/>
    <col min="7682" max="7682" width="1.7109375" style="296" customWidth="1"/>
    <col min="7683" max="7683" width="21.7109375" style="296" customWidth="1"/>
    <col min="7684" max="7684" width="18.5703125" style="296" customWidth="1"/>
    <col min="7685" max="7685" width="2.140625" style="296" bestFit="1" customWidth="1"/>
    <col min="7686" max="7686" width="3.140625" style="296" bestFit="1" customWidth="1"/>
    <col min="7687" max="7687" width="6.140625" style="296" bestFit="1" customWidth="1"/>
    <col min="7688" max="7688" width="1.7109375" style="296" customWidth="1"/>
    <col min="7689" max="7689" width="13.7109375" style="296" customWidth="1"/>
    <col min="7690" max="7690" width="1.7109375" style="296" customWidth="1"/>
    <col min="7691" max="7691" width="13.7109375" style="296" customWidth="1"/>
    <col min="7692" max="7936" width="2.28515625" style="296"/>
    <col min="7937" max="7937" width="3.7109375" style="296" bestFit="1" customWidth="1"/>
    <col min="7938" max="7938" width="1.7109375" style="296" customWidth="1"/>
    <col min="7939" max="7939" width="21.7109375" style="296" customWidth="1"/>
    <col min="7940" max="7940" width="18.5703125" style="296" customWidth="1"/>
    <col min="7941" max="7941" width="2.140625" style="296" bestFit="1" customWidth="1"/>
    <col min="7942" max="7942" width="3.140625" style="296" bestFit="1" customWidth="1"/>
    <col min="7943" max="7943" width="6.140625" style="296" bestFit="1" customWidth="1"/>
    <col min="7944" max="7944" width="1.7109375" style="296" customWidth="1"/>
    <col min="7945" max="7945" width="13.7109375" style="296" customWidth="1"/>
    <col min="7946" max="7946" width="1.7109375" style="296" customWidth="1"/>
    <col min="7947" max="7947" width="13.7109375" style="296" customWidth="1"/>
    <col min="7948" max="8192" width="2.28515625" style="296"/>
    <col min="8193" max="8193" width="3.7109375" style="296" bestFit="1" customWidth="1"/>
    <col min="8194" max="8194" width="1.7109375" style="296" customWidth="1"/>
    <col min="8195" max="8195" width="21.7109375" style="296" customWidth="1"/>
    <col min="8196" max="8196" width="18.5703125" style="296" customWidth="1"/>
    <col min="8197" max="8197" width="2.140625" style="296" bestFit="1" customWidth="1"/>
    <col min="8198" max="8198" width="3.140625" style="296" bestFit="1" customWidth="1"/>
    <col min="8199" max="8199" width="6.140625" style="296" bestFit="1" customWidth="1"/>
    <col min="8200" max="8200" width="1.7109375" style="296" customWidth="1"/>
    <col min="8201" max="8201" width="13.7109375" style="296" customWidth="1"/>
    <col min="8202" max="8202" width="1.7109375" style="296" customWidth="1"/>
    <col min="8203" max="8203" width="13.7109375" style="296" customWidth="1"/>
    <col min="8204" max="8448" width="2.28515625" style="296"/>
    <col min="8449" max="8449" width="3.7109375" style="296" bestFit="1" customWidth="1"/>
    <col min="8450" max="8450" width="1.7109375" style="296" customWidth="1"/>
    <col min="8451" max="8451" width="21.7109375" style="296" customWidth="1"/>
    <col min="8452" max="8452" width="18.5703125" style="296" customWidth="1"/>
    <col min="8453" max="8453" width="2.140625" style="296" bestFit="1" customWidth="1"/>
    <col min="8454" max="8454" width="3.140625" style="296" bestFit="1" customWidth="1"/>
    <col min="8455" max="8455" width="6.140625" style="296" bestFit="1" customWidth="1"/>
    <col min="8456" max="8456" width="1.7109375" style="296" customWidth="1"/>
    <col min="8457" max="8457" width="13.7109375" style="296" customWidth="1"/>
    <col min="8458" max="8458" width="1.7109375" style="296" customWidth="1"/>
    <col min="8459" max="8459" width="13.7109375" style="296" customWidth="1"/>
    <col min="8460" max="8704" width="2.28515625" style="296"/>
    <col min="8705" max="8705" width="3.7109375" style="296" bestFit="1" customWidth="1"/>
    <col min="8706" max="8706" width="1.7109375" style="296" customWidth="1"/>
    <col min="8707" max="8707" width="21.7109375" style="296" customWidth="1"/>
    <col min="8708" max="8708" width="18.5703125" style="296" customWidth="1"/>
    <col min="8709" max="8709" width="2.140625" style="296" bestFit="1" customWidth="1"/>
    <col min="8710" max="8710" width="3.140625" style="296" bestFit="1" customWidth="1"/>
    <col min="8711" max="8711" width="6.140625" style="296" bestFit="1" customWidth="1"/>
    <col min="8712" max="8712" width="1.7109375" style="296" customWidth="1"/>
    <col min="8713" max="8713" width="13.7109375" style="296" customWidth="1"/>
    <col min="8714" max="8714" width="1.7109375" style="296" customWidth="1"/>
    <col min="8715" max="8715" width="13.7109375" style="296" customWidth="1"/>
    <col min="8716" max="8960" width="2.28515625" style="296"/>
    <col min="8961" max="8961" width="3.7109375" style="296" bestFit="1" customWidth="1"/>
    <col min="8962" max="8962" width="1.7109375" style="296" customWidth="1"/>
    <col min="8963" max="8963" width="21.7109375" style="296" customWidth="1"/>
    <col min="8964" max="8964" width="18.5703125" style="296" customWidth="1"/>
    <col min="8965" max="8965" width="2.140625" style="296" bestFit="1" customWidth="1"/>
    <col min="8966" max="8966" width="3.140625" style="296" bestFit="1" customWidth="1"/>
    <col min="8967" max="8967" width="6.140625" style="296" bestFit="1" customWidth="1"/>
    <col min="8968" max="8968" width="1.7109375" style="296" customWidth="1"/>
    <col min="8969" max="8969" width="13.7109375" style="296" customWidth="1"/>
    <col min="8970" max="8970" width="1.7109375" style="296" customWidth="1"/>
    <col min="8971" max="8971" width="13.7109375" style="296" customWidth="1"/>
    <col min="8972" max="9216" width="2.28515625" style="296"/>
    <col min="9217" max="9217" width="3.7109375" style="296" bestFit="1" customWidth="1"/>
    <col min="9218" max="9218" width="1.7109375" style="296" customWidth="1"/>
    <col min="9219" max="9219" width="21.7109375" style="296" customWidth="1"/>
    <col min="9220" max="9220" width="18.5703125" style="296" customWidth="1"/>
    <col min="9221" max="9221" width="2.140625" style="296" bestFit="1" customWidth="1"/>
    <col min="9222" max="9222" width="3.140625" style="296" bestFit="1" customWidth="1"/>
    <col min="9223" max="9223" width="6.140625" style="296" bestFit="1" customWidth="1"/>
    <col min="9224" max="9224" width="1.7109375" style="296" customWidth="1"/>
    <col min="9225" max="9225" width="13.7109375" style="296" customWidth="1"/>
    <col min="9226" max="9226" width="1.7109375" style="296" customWidth="1"/>
    <col min="9227" max="9227" width="13.7109375" style="296" customWidth="1"/>
    <col min="9228" max="9472" width="2.28515625" style="296"/>
    <col min="9473" max="9473" width="3.7109375" style="296" bestFit="1" customWidth="1"/>
    <col min="9474" max="9474" width="1.7109375" style="296" customWidth="1"/>
    <col min="9475" max="9475" width="21.7109375" style="296" customWidth="1"/>
    <col min="9476" max="9476" width="18.5703125" style="296" customWidth="1"/>
    <col min="9477" max="9477" width="2.140625" style="296" bestFit="1" customWidth="1"/>
    <col min="9478" max="9478" width="3.140625" style="296" bestFit="1" customWidth="1"/>
    <col min="9479" max="9479" width="6.140625" style="296" bestFit="1" customWidth="1"/>
    <col min="9480" max="9480" width="1.7109375" style="296" customWidth="1"/>
    <col min="9481" max="9481" width="13.7109375" style="296" customWidth="1"/>
    <col min="9482" max="9482" width="1.7109375" style="296" customWidth="1"/>
    <col min="9483" max="9483" width="13.7109375" style="296" customWidth="1"/>
    <col min="9484" max="9728" width="2.28515625" style="296"/>
    <col min="9729" max="9729" width="3.7109375" style="296" bestFit="1" customWidth="1"/>
    <col min="9730" max="9730" width="1.7109375" style="296" customWidth="1"/>
    <col min="9731" max="9731" width="21.7109375" style="296" customWidth="1"/>
    <col min="9732" max="9732" width="18.5703125" style="296" customWidth="1"/>
    <col min="9733" max="9733" width="2.140625" style="296" bestFit="1" customWidth="1"/>
    <col min="9734" max="9734" width="3.140625" style="296" bestFit="1" customWidth="1"/>
    <col min="9735" max="9735" width="6.140625" style="296" bestFit="1" customWidth="1"/>
    <col min="9736" max="9736" width="1.7109375" style="296" customWidth="1"/>
    <col min="9737" max="9737" width="13.7109375" style="296" customWidth="1"/>
    <col min="9738" max="9738" width="1.7109375" style="296" customWidth="1"/>
    <col min="9739" max="9739" width="13.7109375" style="296" customWidth="1"/>
    <col min="9740" max="9984" width="2.28515625" style="296"/>
    <col min="9985" max="9985" width="3.7109375" style="296" bestFit="1" customWidth="1"/>
    <col min="9986" max="9986" width="1.7109375" style="296" customWidth="1"/>
    <col min="9987" max="9987" width="21.7109375" style="296" customWidth="1"/>
    <col min="9988" max="9988" width="18.5703125" style="296" customWidth="1"/>
    <col min="9989" max="9989" width="2.140625" style="296" bestFit="1" customWidth="1"/>
    <col min="9990" max="9990" width="3.140625" style="296" bestFit="1" customWidth="1"/>
    <col min="9991" max="9991" width="6.140625" style="296" bestFit="1" customWidth="1"/>
    <col min="9992" max="9992" width="1.7109375" style="296" customWidth="1"/>
    <col min="9993" max="9993" width="13.7109375" style="296" customWidth="1"/>
    <col min="9994" max="9994" width="1.7109375" style="296" customWidth="1"/>
    <col min="9995" max="9995" width="13.7109375" style="296" customWidth="1"/>
    <col min="9996" max="10240" width="2.28515625" style="296"/>
    <col min="10241" max="10241" width="3.7109375" style="296" bestFit="1" customWidth="1"/>
    <col min="10242" max="10242" width="1.7109375" style="296" customWidth="1"/>
    <col min="10243" max="10243" width="21.7109375" style="296" customWidth="1"/>
    <col min="10244" max="10244" width="18.5703125" style="296" customWidth="1"/>
    <col min="10245" max="10245" width="2.140625" style="296" bestFit="1" customWidth="1"/>
    <col min="10246" max="10246" width="3.140625" style="296" bestFit="1" customWidth="1"/>
    <col min="10247" max="10247" width="6.140625" style="296" bestFit="1" customWidth="1"/>
    <col min="10248" max="10248" width="1.7109375" style="296" customWidth="1"/>
    <col min="10249" max="10249" width="13.7109375" style="296" customWidth="1"/>
    <col min="10250" max="10250" width="1.7109375" style="296" customWidth="1"/>
    <col min="10251" max="10251" width="13.7109375" style="296" customWidth="1"/>
    <col min="10252" max="10496" width="2.28515625" style="296"/>
    <col min="10497" max="10497" width="3.7109375" style="296" bestFit="1" customWidth="1"/>
    <col min="10498" max="10498" width="1.7109375" style="296" customWidth="1"/>
    <col min="10499" max="10499" width="21.7109375" style="296" customWidth="1"/>
    <col min="10500" max="10500" width="18.5703125" style="296" customWidth="1"/>
    <col min="10501" max="10501" width="2.140625" style="296" bestFit="1" customWidth="1"/>
    <col min="10502" max="10502" width="3.140625" style="296" bestFit="1" customWidth="1"/>
    <col min="10503" max="10503" width="6.140625" style="296" bestFit="1" customWidth="1"/>
    <col min="10504" max="10504" width="1.7109375" style="296" customWidth="1"/>
    <col min="10505" max="10505" width="13.7109375" style="296" customWidth="1"/>
    <col min="10506" max="10506" width="1.7109375" style="296" customWidth="1"/>
    <col min="10507" max="10507" width="13.7109375" style="296" customWidth="1"/>
    <col min="10508" max="10752" width="2.28515625" style="296"/>
    <col min="10753" max="10753" width="3.7109375" style="296" bestFit="1" customWidth="1"/>
    <col min="10754" max="10754" width="1.7109375" style="296" customWidth="1"/>
    <col min="10755" max="10755" width="21.7109375" style="296" customWidth="1"/>
    <col min="10756" max="10756" width="18.5703125" style="296" customWidth="1"/>
    <col min="10757" max="10757" width="2.140625" style="296" bestFit="1" customWidth="1"/>
    <col min="10758" max="10758" width="3.140625" style="296" bestFit="1" customWidth="1"/>
    <col min="10759" max="10759" width="6.140625" style="296" bestFit="1" customWidth="1"/>
    <col min="10760" max="10760" width="1.7109375" style="296" customWidth="1"/>
    <col min="10761" max="10761" width="13.7109375" style="296" customWidth="1"/>
    <col min="10762" max="10762" width="1.7109375" style="296" customWidth="1"/>
    <col min="10763" max="10763" width="13.7109375" style="296" customWidth="1"/>
    <col min="10764" max="11008" width="2.28515625" style="296"/>
    <col min="11009" max="11009" width="3.7109375" style="296" bestFit="1" customWidth="1"/>
    <col min="11010" max="11010" width="1.7109375" style="296" customWidth="1"/>
    <col min="11011" max="11011" width="21.7109375" style="296" customWidth="1"/>
    <col min="11012" max="11012" width="18.5703125" style="296" customWidth="1"/>
    <col min="11013" max="11013" width="2.140625" style="296" bestFit="1" customWidth="1"/>
    <col min="11014" max="11014" width="3.140625" style="296" bestFit="1" customWidth="1"/>
    <col min="11015" max="11015" width="6.140625" style="296" bestFit="1" customWidth="1"/>
    <col min="11016" max="11016" width="1.7109375" style="296" customWidth="1"/>
    <col min="11017" max="11017" width="13.7109375" style="296" customWidth="1"/>
    <col min="11018" max="11018" width="1.7109375" style="296" customWidth="1"/>
    <col min="11019" max="11019" width="13.7109375" style="296" customWidth="1"/>
    <col min="11020" max="11264" width="2.28515625" style="296"/>
    <col min="11265" max="11265" width="3.7109375" style="296" bestFit="1" customWidth="1"/>
    <col min="11266" max="11266" width="1.7109375" style="296" customWidth="1"/>
    <col min="11267" max="11267" width="21.7109375" style="296" customWidth="1"/>
    <col min="11268" max="11268" width="18.5703125" style="296" customWidth="1"/>
    <col min="11269" max="11269" width="2.140625" style="296" bestFit="1" customWidth="1"/>
    <col min="11270" max="11270" width="3.140625" style="296" bestFit="1" customWidth="1"/>
    <col min="11271" max="11271" width="6.140625" style="296" bestFit="1" customWidth="1"/>
    <col min="11272" max="11272" width="1.7109375" style="296" customWidth="1"/>
    <col min="11273" max="11273" width="13.7109375" style="296" customWidth="1"/>
    <col min="11274" max="11274" width="1.7109375" style="296" customWidth="1"/>
    <col min="11275" max="11275" width="13.7109375" style="296" customWidth="1"/>
    <col min="11276" max="11520" width="2.28515625" style="296"/>
    <col min="11521" max="11521" width="3.7109375" style="296" bestFit="1" customWidth="1"/>
    <col min="11522" max="11522" width="1.7109375" style="296" customWidth="1"/>
    <col min="11523" max="11523" width="21.7109375" style="296" customWidth="1"/>
    <col min="11524" max="11524" width="18.5703125" style="296" customWidth="1"/>
    <col min="11525" max="11525" width="2.140625" style="296" bestFit="1" customWidth="1"/>
    <col min="11526" max="11526" width="3.140625" style="296" bestFit="1" customWidth="1"/>
    <col min="11527" max="11527" width="6.140625" style="296" bestFit="1" customWidth="1"/>
    <col min="11528" max="11528" width="1.7109375" style="296" customWidth="1"/>
    <col min="11529" max="11529" width="13.7109375" style="296" customWidth="1"/>
    <col min="11530" max="11530" width="1.7109375" style="296" customWidth="1"/>
    <col min="11531" max="11531" width="13.7109375" style="296" customWidth="1"/>
    <col min="11532" max="11776" width="2.28515625" style="296"/>
    <col min="11777" max="11777" width="3.7109375" style="296" bestFit="1" customWidth="1"/>
    <col min="11778" max="11778" width="1.7109375" style="296" customWidth="1"/>
    <col min="11779" max="11779" width="21.7109375" style="296" customWidth="1"/>
    <col min="11780" max="11780" width="18.5703125" style="296" customWidth="1"/>
    <col min="11781" max="11781" width="2.140625" style="296" bestFit="1" customWidth="1"/>
    <col min="11782" max="11782" width="3.140625" style="296" bestFit="1" customWidth="1"/>
    <col min="11783" max="11783" width="6.140625" style="296" bestFit="1" customWidth="1"/>
    <col min="11784" max="11784" width="1.7109375" style="296" customWidth="1"/>
    <col min="11785" max="11785" width="13.7109375" style="296" customWidth="1"/>
    <col min="11786" max="11786" width="1.7109375" style="296" customWidth="1"/>
    <col min="11787" max="11787" width="13.7109375" style="296" customWidth="1"/>
    <col min="11788" max="12032" width="2.28515625" style="296"/>
    <col min="12033" max="12033" width="3.7109375" style="296" bestFit="1" customWidth="1"/>
    <col min="12034" max="12034" width="1.7109375" style="296" customWidth="1"/>
    <col min="12035" max="12035" width="21.7109375" style="296" customWidth="1"/>
    <col min="12036" max="12036" width="18.5703125" style="296" customWidth="1"/>
    <col min="12037" max="12037" width="2.140625" style="296" bestFit="1" customWidth="1"/>
    <col min="12038" max="12038" width="3.140625" style="296" bestFit="1" customWidth="1"/>
    <col min="12039" max="12039" width="6.140625" style="296" bestFit="1" customWidth="1"/>
    <col min="12040" max="12040" width="1.7109375" style="296" customWidth="1"/>
    <col min="12041" max="12041" width="13.7109375" style="296" customWidth="1"/>
    <col min="12042" max="12042" width="1.7109375" style="296" customWidth="1"/>
    <col min="12043" max="12043" width="13.7109375" style="296" customWidth="1"/>
    <col min="12044" max="12288" width="2.28515625" style="296"/>
    <col min="12289" max="12289" width="3.7109375" style="296" bestFit="1" customWidth="1"/>
    <col min="12290" max="12290" width="1.7109375" style="296" customWidth="1"/>
    <col min="12291" max="12291" width="21.7109375" style="296" customWidth="1"/>
    <col min="12292" max="12292" width="18.5703125" style="296" customWidth="1"/>
    <col min="12293" max="12293" width="2.140625" style="296" bestFit="1" customWidth="1"/>
    <col min="12294" max="12294" width="3.140625" style="296" bestFit="1" customWidth="1"/>
    <col min="12295" max="12295" width="6.140625" style="296" bestFit="1" customWidth="1"/>
    <col min="12296" max="12296" width="1.7109375" style="296" customWidth="1"/>
    <col min="12297" max="12297" width="13.7109375" style="296" customWidth="1"/>
    <col min="12298" max="12298" width="1.7109375" style="296" customWidth="1"/>
    <col min="12299" max="12299" width="13.7109375" style="296" customWidth="1"/>
    <col min="12300" max="12544" width="2.28515625" style="296"/>
    <col min="12545" max="12545" width="3.7109375" style="296" bestFit="1" customWidth="1"/>
    <col min="12546" max="12546" width="1.7109375" style="296" customWidth="1"/>
    <col min="12547" max="12547" width="21.7109375" style="296" customWidth="1"/>
    <col min="12548" max="12548" width="18.5703125" style="296" customWidth="1"/>
    <col min="12549" max="12549" width="2.140625" style="296" bestFit="1" customWidth="1"/>
    <col min="12550" max="12550" width="3.140625" style="296" bestFit="1" customWidth="1"/>
    <col min="12551" max="12551" width="6.140625" style="296" bestFit="1" customWidth="1"/>
    <col min="12552" max="12552" width="1.7109375" style="296" customWidth="1"/>
    <col min="12553" max="12553" width="13.7109375" style="296" customWidth="1"/>
    <col min="12554" max="12554" width="1.7109375" style="296" customWidth="1"/>
    <col min="12555" max="12555" width="13.7109375" style="296" customWidth="1"/>
    <col min="12556" max="12800" width="2.28515625" style="296"/>
    <col min="12801" max="12801" width="3.7109375" style="296" bestFit="1" customWidth="1"/>
    <col min="12802" max="12802" width="1.7109375" style="296" customWidth="1"/>
    <col min="12803" max="12803" width="21.7109375" style="296" customWidth="1"/>
    <col min="12804" max="12804" width="18.5703125" style="296" customWidth="1"/>
    <col min="12805" max="12805" width="2.140625" style="296" bestFit="1" customWidth="1"/>
    <col min="12806" max="12806" width="3.140625" style="296" bestFit="1" customWidth="1"/>
    <col min="12807" max="12807" width="6.140625" style="296" bestFit="1" customWidth="1"/>
    <col min="12808" max="12808" width="1.7109375" style="296" customWidth="1"/>
    <col min="12809" max="12809" width="13.7109375" style="296" customWidth="1"/>
    <col min="12810" max="12810" width="1.7109375" style="296" customWidth="1"/>
    <col min="12811" max="12811" width="13.7109375" style="296" customWidth="1"/>
    <col min="12812" max="13056" width="2.28515625" style="296"/>
    <col min="13057" max="13057" width="3.7109375" style="296" bestFit="1" customWidth="1"/>
    <col min="13058" max="13058" width="1.7109375" style="296" customWidth="1"/>
    <col min="13059" max="13059" width="21.7109375" style="296" customWidth="1"/>
    <col min="13060" max="13060" width="18.5703125" style="296" customWidth="1"/>
    <col min="13061" max="13061" width="2.140625" style="296" bestFit="1" customWidth="1"/>
    <col min="13062" max="13062" width="3.140625" style="296" bestFit="1" customWidth="1"/>
    <col min="13063" max="13063" width="6.140625" style="296" bestFit="1" customWidth="1"/>
    <col min="13064" max="13064" width="1.7109375" style="296" customWidth="1"/>
    <col min="13065" max="13065" width="13.7109375" style="296" customWidth="1"/>
    <col min="13066" max="13066" width="1.7109375" style="296" customWidth="1"/>
    <col min="13067" max="13067" width="13.7109375" style="296" customWidth="1"/>
    <col min="13068" max="13312" width="2.28515625" style="296"/>
    <col min="13313" max="13313" width="3.7109375" style="296" bestFit="1" customWidth="1"/>
    <col min="13314" max="13314" width="1.7109375" style="296" customWidth="1"/>
    <col min="13315" max="13315" width="21.7109375" style="296" customWidth="1"/>
    <col min="13316" max="13316" width="18.5703125" style="296" customWidth="1"/>
    <col min="13317" max="13317" width="2.140625" style="296" bestFit="1" customWidth="1"/>
    <col min="13318" max="13318" width="3.140625" style="296" bestFit="1" customWidth="1"/>
    <col min="13319" max="13319" width="6.140625" style="296" bestFit="1" customWidth="1"/>
    <col min="13320" max="13320" width="1.7109375" style="296" customWidth="1"/>
    <col min="13321" max="13321" width="13.7109375" style="296" customWidth="1"/>
    <col min="13322" max="13322" width="1.7109375" style="296" customWidth="1"/>
    <col min="13323" max="13323" width="13.7109375" style="296" customWidth="1"/>
    <col min="13324" max="13568" width="2.28515625" style="296"/>
    <col min="13569" max="13569" width="3.7109375" style="296" bestFit="1" customWidth="1"/>
    <col min="13570" max="13570" width="1.7109375" style="296" customWidth="1"/>
    <col min="13571" max="13571" width="21.7109375" style="296" customWidth="1"/>
    <col min="13572" max="13572" width="18.5703125" style="296" customWidth="1"/>
    <col min="13573" max="13573" width="2.140625" style="296" bestFit="1" customWidth="1"/>
    <col min="13574" max="13574" width="3.140625" style="296" bestFit="1" customWidth="1"/>
    <col min="13575" max="13575" width="6.140625" style="296" bestFit="1" customWidth="1"/>
    <col min="13576" max="13576" width="1.7109375" style="296" customWidth="1"/>
    <col min="13577" max="13577" width="13.7109375" style="296" customWidth="1"/>
    <col min="13578" max="13578" width="1.7109375" style="296" customWidth="1"/>
    <col min="13579" max="13579" width="13.7109375" style="296" customWidth="1"/>
    <col min="13580" max="13824" width="2.28515625" style="296"/>
    <col min="13825" max="13825" width="3.7109375" style="296" bestFit="1" customWidth="1"/>
    <col min="13826" max="13826" width="1.7109375" style="296" customWidth="1"/>
    <col min="13827" max="13827" width="21.7109375" style="296" customWidth="1"/>
    <col min="13828" max="13828" width="18.5703125" style="296" customWidth="1"/>
    <col min="13829" max="13829" width="2.140625" style="296" bestFit="1" customWidth="1"/>
    <col min="13830" max="13830" width="3.140625" style="296" bestFit="1" customWidth="1"/>
    <col min="13831" max="13831" width="6.140625" style="296" bestFit="1" customWidth="1"/>
    <col min="13832" max="13832" width="1.7109375" style="296" customWidth="1"/>
    <col min="13833" max="13833" width="13.7109375" style="296" customWidth="1"/>
    <col min="13834" max="13834" width="1.7109375" style="296" customWidth="1"/>
    <col min="13835" max="13835" width="13.7109375" style="296" customWidth="1"/>
    <col min="13836" max="14080" width="2.28515625" style="296"/>
    <col min="14081" max="14081" width="3.7109375" style="296" bestFit="1" customWidth="1"/>
    <col min="14082" max="14082" width="1.7109375" style="296" customWidth="1"/>
    <col min="14083" max="14083" width="21.7109375" style="296" customWidth="1"/>
    <col min="14084" max="14084" width="18.5703125" style="296" customWidth="1"/>
    <col min="14085" max="14085" width="2.140625" style="296" bestFit="1" customWidth="1"/>
    <col min="14086" max="14086" width="3.140625" style="296" bestFit="1" customWidth="1"/>
    <col min="14087" max="14087" width="6.140625" style="296" bestFit="1" customWidth="1"/>
    <col min="14088" max="14088" width="1.7109375" style="296" customWidth="1"/>
    <col min="14089" max="14089" width="13.7109375" style="296" customWidth="1"/>
    <col min="14090" max="14090" width="1.7109375" style="296" customWidth="1"/>
    <col min="14091" max="14091" width="13.7109375" style="296" customWidth="1"/>
    <col min="14092" max="14336" width="2.28515625" style="296"/>
    <col min="14337" max="14337" width="3.7109375" style="296" bestFit="1" customWidth="1"/>
    <col min="14338" max="14338" width="1.7109375" style="296" customWidth="1"/>
    <col min="14339" max="14339" width="21.7109375" style="296" customWidth="1"/>
    <col min="14340" max="14340" width="18.5703125" style="296" customWidth="1"/>
    <col min="14341" max="14341" width="2.140625" style="296" bestFit="1" customWidth="1"/>
    <col min="14342" max="14342" width="3.140625" style="296" bestFit="1" customWidth="1"/>
    <col min="14343" max="14343" width="6.140625" style="296" bestFit="1" customWidth="1"/>
    <col min="14344" max="14344" width="1.7109375" style="296" customWidth="1"/>
    <col min="14345" max="14345" width="13.7109375" style="296" customWidth="1"/>
    <col min="14346" max="14346" width="1.7109375" style="296" customWidth="1"/>
    <col min="14347" max="14347" width="13.7109375" style="296" customWidth="1"/>
    <col min="14348" max="14592" width="2.28515625" style="296"/>
    <col min="14593" max="14593" width="3.7109375" style="296" bestFit="1" customWidth="1"/>
    <col min="14594" max="14594" width="1.7109375" style="296" customWidth="1"/>
    <col min="14595" max="14595" width="21.7109375" style="296" customWidth="1"/>
    <col min="14596" max="14596" width="18.5703125" style="296" customWidth="1"/>
    <col min="14597" max="14597" width="2.140625" style="296" bestFit="1" customWidth="1"/>
    <col min="14598" max="14598" width="3.140625" style="296" bestFit="1" customWidth="1"/>
    <col min="14599" max="14599" width="6.140625" style="296" bestFit="1" customWidth="1"/>
    <col min="14600" max="14600" width="1.7109375" style="296" customWidth="1"/>
    <col min="14601" max="14601" width="13.7109375" style="296" customWidth="1"/>
    <col min="14602" max="14602" width="1.7109375" style="296" customWidth="1"/>
    <col min="14603" max="14603" width="13.7109375" style="296" customWidth="1"/>
    <col min="14604" max="14848" width="2.28515625" style="296"/>
    <col min="14849" max="14849" width="3.7109375" style="296" bestFit="1" customWidth="1"/>
    <col min="14850" max="14850" width="1.7109375" style="296" customWidth="1"/>
    <col min="14851" max="14851" width="21.7109375" style="296" customWidth="1"/>
    <col min="14852" max="14852" width="18.5703125" style="296" customWidth="1"/>
    <col min="14853" max="14853" width="2.140625" style="296" bestFit="1" customWidth="1"/>
    <col min="14854" max="14854" width="3.140625" style="296" bestFit="1" customWidth="1"/>
    <col min="14855" max="14855" width="6.140625" style="296" bestFit="1" customWidth="1"/>
    <col min="14856" max="14856" width="1.7109375" style="296" customWidth="1"/>
    <col min="14857" max="14857" width="13.7109375" style="296" customWidth="1"/>
    <col min="14858" max="14858" width="1.7109375" style="296" customWidth="1"/>
    <col min="14859" max="14859" width="13.7109375" style="296" customWidth="1"/>
    <col min="14860" max="15104" width="2.28515625" style="296"/>
    <col min="15105" max="15105" width="3.7109375" style="296" bestFit="1" customWidth="1"/>
    <col min="15106" max="15106" width="1.7109375" style="296" customWidth="1"/>
    <col min="15107" max="15107" width="21.7109375" style="296" customWidth="1"/>
    <col min="15108" max="15108" width="18.5703125" style="296" customWidth="1"/>
    <col min="15109" max="15109" width="2.140625" style="296" bestFit="1" customWidth="1"/>
    <col min="15110" max="15110" width="3.140625" style="296" bestFit="1" customWidth="1"/>
    <col min="15111" max="15111" width="6.140625" style="296" bestFit="1" customWidth="1"/>
    <col min="15112" max="15112" width="1.7109375" style="296" customWidth="1"/>
    <col min="15113" max="15113" width="13.7109375" style="296" customWidth="1"/>
    <col min="15114" max="15114" width="1.7109375" style="296" customWidth="1"/>
    <col min="15115" max="15115" width="13.7109375" style="296" customWidth="1"/>
    <col min="15116" max="15360" width="2.28515625" style="296"/>
    <col min="15361" max="15361" width="3.7109375" style="296" bestFit="1" customWidth="1"/>
    <col min="15362" max="15362" width="1.7109375" style="296" customWidth="1"/>
    <col min="15363" max="15363" width="21.7109375" style="296" customWidth="1"/>
    <col min="15364" max="15364" width="18.5703125" style="296" customWidth="1"/>
    <col min="15365" max="15365" width="2.140625" style="296" bestFit="1" customWidth="1"/>
    <col min="15366" max="15366" width="3.140625" style="296" bestFit="1" customWidth="1"/>
    <col min="15367" max="15367" width="6.140625" style="296" bestFit="1" customWidth="1"/>
    <col min="15368" max="15368" width="1.7109375" style="296" customWidth="1"/>
    <col min="15369" max="15369" width="13.7109375" style="296" customWidth="1"/>
    <col min="15370" max="15370" width="1.7109375" style="296" customWidth="1"/>
    <col min="15371" max="15371" width="13.7109375" style="296" customWidth="1"/>
    <col min="15372" max="15616" width="2.28515625" style="296"/>
    <col min="15617" max="15617" width="3.7109375" style="296" bestFit="1" customWidth="1"/>
    <col min="15618" max="15618" width="1.7109375" style="296" customWidth="1"/>
    <col min="15619" max="15619" width="21.7109375" style="296" customWidth="1"/>
    <col min="15620" max="15620" width="18.5703125" style="296" customWidth="1"/>
    <col min="15621" max="15621" width="2.140625" style="296" bestFit="1" customWidth="1"/>
    <col min="15622" max="15622" width="3.140625" style="296" bestFit="1" customWidth="1"/>
    <col min="15623" max="15623" width="6.140625" style="296" bestFit="1" customWidth="1"/>
    <col min="15624" max="15624" width="1.7109375" style="296" customWidth="1"/>
    <col min="15625" max="15625" width="13.7109375" style="296" customWidth="1"/>
    <col min="15626" max="15626" width="1.7109375" style="296" customWidth="1"/>
    <col min="15627" max="15627" width="13.7109375" style="296" customWidth="1"/>
    <col min="15628" max="15872" width="2.28515625" style="296"/>
    <col min="15873" max="15873" width="3.7109375" style="296" bestFit="1" customWidth="1"/>
    <col min="15874" max="15874" width="1.7109375" style="296" customWidth="1"/>
    <col min="15875" max="15875" width="21.7109375" style="296" customWidth="1"/>
    <col min="15876" max="15876" width="18.5703125" style="296" customWidth="1"/>
    <col min="15877" max="15877" width="2.140625" style="296" bestFit="1" customWidth="1"/>
    <col min="15878" max="15878" width="3.140625" style="296" bestFit="1" customWidth="1"/>
    <col min="15879" max="15879" width="6.140625" style="296" bestFit="1" customWidth="1"/>
    <col min="15880" max="15880" width="1.7109375" style="296" customWidth="1"/>
    <col min="15881" max="15881" width="13.7109375" style="296" customWidth="1"/>
    <col min="15882" max="15882" width="1.7109375" style="296" customWidth="1"/>
    <col min="15883" max="15883" width="13.7109375" style="296" customWidth="1"/>
    <col min="15884" max="16128" width="2.28515625" style="296"/>
    <col min="16129" max="16129" width="3.7109375" style="296" bestFit="1" customWidth="1"/>
    <col min="16130" max="16130" width="1.7109375" style="296" customWidth="1"/>
    <col min="16131" max="16131" width="21.7109375" style="296" customWidth="1"/>
    <col min="16132" max="16132" width="18.5703125" style="296" customWidth="1"/>
    <col min="16133" max="16133" width="2.140625" style="296" bestFit="1" customWidth="1"/>
    <col min="16134" max="16134" width="3.140625" style="296" bestFit="1" customWidth="1"/>
    <col min="16135" max="16135" width="6.140625" style="296" bestFit="1" customWidth="1"/>
    <col min="16136" max="16136" width="1.7109375" style="296" customWidth="1"/>
    <col min="16137" max="16137" width="13.7109375" style="296" customWidth="1"/>
    <col min="16138" max="16138" width="1.7109375" style="296" customWidth="1"/>
    <col min="16139" max="16139" width="13.7109375" style="296" customWidth="1"/>
    <col min="16140" max="16384" width="2.28515625" style="296"/>
  </cols>
  <sheetData>
    <row r="1" spans="1:13" s="406" customFormat="1" x14ac:dyDescent="0.15"/>
    <row r="2" spans="1:13" s="406" customFormat="1" ht="15.75" x14ac:dyDescent="0.25">
      <c r="C2" s="405" t="s">
        <v>641</v>
      </c>
      <c r="D2" s="409" t="str">
        <f>+Bilan!D2</f>
        <v>ELESYST SA</v>
      </c>
      <c r="I2" s="407" t="s">
        <v>642</v>
      </c>
      <c r="J2" s="454" t="str">
        <f>+Bilan!Q2</f>
        <v>2019</v>
      </c>
      <c r="K2" s="464"/>
    </row>
    <row r="3" spans="1:13" s="406" customFormat="1" ht="15.75" x14ac:dyDescent="0.25">
      <c r="C3" s="405" t="s">
        <v>643</v>
      </c>
      <c r="D3" s="408" t="str">
        <f>+Bilan!D3</f>
        <v>MO1779U7P00197</v>
      </c>
      <c r="I3" s="407" t="s">
        <v>644</v>
      </c>
      <c r="J3" s="464">
        <f>+Bilan!Q3</f>
        <v>12</v>
      </c>
      <c r="K3" s="464"/>
    </row>
    <row r="4" spans="1:13" ht="15.75" x14ac:dyDescent="0.25">
      <c r="C4" s="326" t="s">
        <v>954</v>
      </c>
      <c r="J4" s="410"/>
      <c r="K4" s="410"/>
    </row>
    <row r="5" spans="1:13" ht="25.5" x14ac:dyDescent="0.15">
      <c r="A5" s="457" t="s">
        <v>571</v>
      </c>
      <c r="B5" s="457"/>
      <c r="C5" s="457"/>
      <c r="D5" s="457"/>
      <c r="E5" s="457"/>
      <c r="F5" s="457"/>
      <c r="G5" s="457"/>
      <c r="H5" s="457"/>
      <c r="I5" s="457"/>
      <c r="J5" s="457"/>
      <c r="K5" s="457"/>
    </row>
    <row r="7" spans="1:13" s="298" customFormat="1" x14ac:dyDescent="0.15">
      <c r="A7" s="465" t="s">
        <v>520</v>
      </c>
      <c r="B7" s="327"/>
      <c r="C7" s="465" t="s">
        <v>572</v>
      </c>
      <c r="D7" s="465"/>
      <c r="E7" s="465"/>
      <c r="F7" s="327"/>
      <c r="G7" s="465" t="s">
        <v>646</v>
      </c>
      <c r="H7" s="327"/>
      <c r="I7" s="327" t="s">
        <v>648</v>
      </c>
      <c r="J7" s="327"/>
      <c r="K7" s="328" t="s">
        <v>648</v>
      </c>
    </row>
    <row r="8" spans="1:13" s="298" customFormat="1" x14ac:dyDescent="0.15">
      <c r="A8" s="458"/>
      <c r="B8" s="300"/>
      <c r="C8" s="458"/>
      <c r="D8" s="458"/>
      <c r="E8" s="458"/>
      <c r="F8" s="300"/>
      <c r="G8" s="458"/>
      <c r="H8" s="300"/>
      <c r="I8" s="300" t="s">
        <v>786</v>
      </c>
      <c r="J8" s="300"/>
      <c r="K8" s="302" t="s">
        <v>787</v>
      </c>
    </row>
    <row r="9" spans="1:13" s="298" customFormat="1" ht="11.25" thickBot="1" x14ac:dyDescent="0.2">
      <c r="A9" s="459"/>
      <c r="B9" s="305"/>
      <c r="C9" s="459"/>
      <c r="D9" s="459"/>
      <c r="E9" s="459"/>
      <c r="F9" s="305"/>
      <c r="G9" s="459"/>
      <c r="H9" s="305"/>
      <c r="I9" s="305" t="s">
        <v>652</v>
      </c>
      <c r="J9" s="305"/>
      <c r="K9" s="270" t="s">
        <v>652</v>
      </c>
    </row>
    <row r="10" spans="1:13" ht="15" x14ac:dyDescent="0.25">
      <c r="A10" s="311" t="s">
        <v>312</v>
      </c>
      <c r="C10" s="296" t="s">
        <v>573</v>
      </c>
      <c r="E10" s="298" t="s">
        <v>525</v>
      </c>
      <c r="F10" s="329" t="s">
        <v>326</v>
      </c>
      <c r="G10" s="311">
        <v>21</v>
      </c>
      <c r="I10" s="313">
        <v>55000000</v>
      </c>
      <c r="J10" s="313"/>
      <c r="K10" s="314">
        <v>48000000</v>
      </c>
      <c r="M10"/>
    </row>
    <row r="11" spans="1:13" ht="15" x14ac:dyDescent="0.25">
      <c r="A11" s="311" t="s">
        <v>298</v>
      </c>
      <c r="C11" s="296" t="s">
        <v>788</v>
      </c>
      <c r="E11" s="298"/>
      <c r="F11" s="329" t="s">
        <v>325</v>
      </c>
      <c r="G11" s="311">
        <v>22</v>
      </c>
      <c r="I11" s="313">
        <v>32000000</v>
      </c>
      <c r="J11" s="313"/>
      <c r="K11" s="314">
        <v>26000000</v>
      </c>
      <c r="M11"/>
    </row>
    <row r="12" spans="1:13" ht="15" x14ac:dyDescent="0.25">
      <c r="A12" s="311" t="s">
        <v>299</v>
      </c>
      <c r="C12" s="296" t="s">
        <v>789</v>
      </c>
      <c r="E12" s="298"/>
      <c r="F12" s="329" t="s">
        <v>790</v>
      </c>
      <c r="G12" s="311">
        <v>6</v>
      </c>
      <c r="I12" s="313"/>
      <c r="J12" s="313"/>
      <c r="K12" s="314"/>
      <c r="M12"/>
    </row>
    <row r="13" spans="1:13" s="298" customFormat="1" ht="15" x14ac:dyDescent="0.25">
      <c r="A13" s="303" t="s">
        <v>575</v>
      </c>
      <c r="C13" s="298" t="s">
        <v>574</v>
      </c>
      <c r="F13" s="330"/>
      <c r="G13" s="303"/>
      <c r="I13" s="315">
        <f>I10-(I11+I12)</f>
        <v>23000000</v>
      </c>
      <c r="J13" s="315"/>
      <c r="K13" s="316">
        <f>K10-(K11+K12)</f>
        <v>22000000</v>
      </c>
      <c r="M13"/>
    </row>
    <row r="14" spans="1:13" ht="15" x14ac:dyDescent="0.25">
      <c r="A14" s="311" t="s">
        <v>313</v>
      </c>
      <c r="C14" s="296" t="s">
        <v>576</v>
      </c>
      <c r="E14" s="298" t="s">
        <v>533</v>
      </c>
      <c r="F14" s="329" t="s">
        <v>326</v>
      </c>
      <c r="G14" s="311">
        <v>21</v>
      </c>
      <c r="I14" s="313"/>
      <c r="J14" s="313"/>
      <c r="K14" s="314"/>
      <c r="M14"/>
    </row>
    <row r="15" spans="1:13" ht="15" x14ac:dyDescent="0.25">
      <c r="A15" s="311" t="s">
        <v>314</v>
      </c>
      <c r="C15" s="296" t="s">
        <v>577</v>
      </c>
      <c r="E15" s="298" t="s">
        <v>542</v>
      </c>
      <c r="F15" s="329" t="s">
        <v>326</v>
      </c>
      <c r="G15" s="311">
        <v>21</v>
      </c>
      <c r="I15" s="313">
        <v>20000000</v>
      </c>
      <c r="J15" s="313"/>
      <c r="K15" s="314">
        <v>16000000</v>
      </c>
      <c r="M15"/>
    </row>
    <row r="16" spans="1:13" ht="15" x14ac:dyDescent="0.25">
      <c r="A16" s="311" t="s">
        <v>315</v>
      </c>
      <c r="C16" s="296" t="s">
        <v>578</v>
      </c>
      <c r="E16" s="298" t="s">
        <v>551</v>
      </c>
      <c r="F16" s="329" t="s">
        <v>326</v>
      </c>
      <c r="G16" s="311">
        <v>21</v>
      </c>
      <c r="I16" s="313">
        <v>3500000</v>
      </c>
      <c r="J16" s="313"/>
      <c r="K16" s="314">
        <v>2800000</v>
      </c>
      <c r="M16"/>
    </row>
    <row r="17" spans="1:13" s="298" customFormat="1" ht="15" x14ac:dyDescent="0.25">
      <c r="A17" s="319" t="s">
        <v>580</v>
      </c>
      <c r="B17" s="318"/>
      <c r="C17" s="318" t="s">
        <v>579</v>
      </c>
      <c r="D17" s="318"/>
      <c r="E17" s="318"/>
      <c r="F17" s="331"/>
      <c r="G17" s="319"/>
      <c r="H17" s="318"/>
      <c r="I17" s="320">
        <f>I10+I14+I15+I16</f>
        <v>78500000</v>
      </c>
      <c r="J17" s="320"/>
      <c r="K17" s="271">
        <f>K10+K14+K15+K16</f>
        <v>66800000</v>
      </c>
      <c r="M17"/>
    </row>
    <row r="18" spans="1:13" ht="15" x14ac:dyDescent="0.25">
      <c r="A18" s="311" t="s">
        <v>316</v>
      </c>
      <c r="C18" s="296" t="s">
        <v>581</v>
      </c>
      <c r="F18" s="329" t="s">
        <v>790</v>
      </c>
      <c r="G18" s="311">
        <v>6</v>
      </c>
      <c r="I18" s="313"/>
      <c r="J18" s="313"/>
      <c r="K18" s="314"/>
      <c r="M18"/>
    </row>
    <row r="19" spans="1:13" ht="15" x14ac:dyDescent="0.25">
      <c r="A19" s="311" t="s">
        <v>317</v>
      </c>
      <c r="C19" s="296" t="s">
        <v>582</v>
      </c>
      <c r="F19" s="329"/>
      <c r="G19" s="311">
        <v>21</v>
      </c>
      <c r="I19" s="313"/>
      <c r="J19" s="313"/>
      <c r="K19" s="314"/>
      <c r="M19"/>
    </row>
    <row r="20" spans="1:13" ht="15" x14ac:dyDescent="0.25">
      <c r="A20" s="311" t="s">
        <v>318</v>
      </c>
      <c r="C20" s="296" t="s">
        <v>583</v>
      </c>
      <c r="F20" s="329"/>
      <c r="G20" s="311">
        <v>21</v>
      </c>
      <c r="I20" s="313"/>
      <c r="J20" s="313"/>
      <c r="K20" s="314"/>
      <c r="M20"/>
    </row>
    <row r="21" spans="1:13" ht="15" x14ac:dyDescent="0.25">
      <c r="A21" s="311" t="s">
        <v>319</v>
      </c>
      <c r="C21" s="296" t="s">
        <v>584</v>
      </c>
      <c r="F21" s="329" t="s">
        <v>326</v>
      </c>
      <c r="G21" s="311">
        <v>21</v>
      </c>
      <c r="I21" s="313"/>
      <c r="J21" s="313"/>
      <c r="K21" s="314"/>
      <c r="M21"/>
    </row>
    <row r="22" spans="1:13" ht="15" x14ac:dyDescent="0.25">
      <c r="A22" s="311" t="s">
        <v>320</v>
      </c>
      <c r="C22" s="296" t="s">
        <v>585</v>
      </c>
      <c r="F22" s="329" t="s">
        <v>326</v>
      </c>
      <c r="G22" s="311">
        <v>12</v>
      </c>
      <c r="I22" s="313"/>
      <c r="J22" s="313"/>
      <c r="K22" s="314"/>
      <c r="M22"/>
    </row>
    <row r="23" spans="1:13" ht="15" x14ac:dyDescent="0.25">
      <c r="A23" s="311" t="s">
        <v>300</v>
      </c>
      <c r="C23" s="296" t="s">
        <v>586</v>
      </c>
      <c r="F23" s="329" t="s">
        <v>325</v>
      </c>
      <c r="G23" s="311">
        <v>22</v>
      </c>
      <c r="I23" s="313"/>
      <c r="J23" s="313"/>
      <c r="K23" s="314"/>
      <c r="M23"/>
    </row>
    <row r="24" spans="1:13" ht="15" x14ac:dyDescent="0.25">
      <c r="A24" s="311" t="s">
        <v>301</v>
      </c>
      <c r="C24" s="296" t="s">
        <v>587</v>
      </c>
      <c r="F24" s="329" t="s">
        <v>790</v>
      </c>
      <c r="G24" s="311">
        <v>6</v>
      </c>
      <c r="I24" s="313"/>
      <c r="J24" s="313"/>
      <c r="K24" s="314"/>
      <c r="M24"/>
    </row>
    <row r="25" spans="1:13" ht="15" x14ac:dyDescent="0.25">
      <c r="A25" s="311" t="s">
        <v>302</v>
      </c>
      <c r="C25" s="296" t="s">
        <v>588</v>
      </c>
      <c r="F25" s="329" t="s">
        <v>325</v>
      </c>
      <c r="G25" s="311">
        <v>22</v>
      </c>
      <c r="I25" s="313">
        <v>3000000</v>
      </c>
      <c r="J25" s="313"/>
      <c r="K25" s="314">
        <v>2500000</v>
      </c>
      <c r="M25"/>
    </row>
    <row r="26" spans="1:13" ht="15" x14ac:dyDescent="0.25">
      <c r="A26" s="311" t="s">
        <v>589</v>
      </c>
      <c r="C26" s="296" t="s">
        <v>590</v>
      </c>
      <c r="F26" s="329" t="s">
        <v>790</v>
      </c>
      <c r="G26" s="311">
        <v>6</v>
      </c>
      <c r="I26" s="313"/>
      <c r="J26" s="313"/>
      <c r="K26" s="314"/>
      <c r="M26"/>
    </row>
    <row r="27" spans="1:13" ht="15" x14ac:dyDescent="0.25">
      <c r="A27" s="311" t="s">
        <v>591</v>
      </c>
      <c r="C27" s="296" t="s">
        <v>305</v>
      </c>
      <c r="F27" s="329" t="s">
        <v>325</v>
      </c>
      <c r="G27" s="311">
        <v>23</v>
      </c>
      <c r="I27" s="313">
        <v>2850000</v>
      </c>
      <c r="J27" s="313"/>
      <c r="K27" s="314">
        <v>2250000</v>
      </c>
      <c r="M27"/>
    </row>
    <row r="28" spans="1:13" ht="15" x14ac:dyDescent="0.25">
      <c r="A28" s="311" t="s">
        <v>303</v>
      </c>
      <c r="C28" s="296" t="s">
        <v>592</v>
      </c>
      <c r="F28" s="329" t="s">
        <v>325</v>
      </c>
      <c r="G28" s="311">
        <v>24</v>
      </c>
      <c r="I28" s="313">
        <v>6000000</v>
      </c>
      <c r="J28" s="313"/>
      <c r="K28" s="314">
        <v>5000000</v>
      </c>
      <c r="M28"/>
    </row>
    <row r="29" spans="1:13" ht="15" x14ac:dyDescent="0.25">
      <c r="A29" s="311" t="s">
        <v>304</v>
      </c>
      <c r="C29" s="296" t="s">
        <v>593</v>
      </c>
      <c r="F29" s="329" t="s">
        <v>325</v>
      </c>
      <c r="G29" s="311">
        <v>25</v>
      </c>
      <c r="I29" s="313">
        <v>2345000</v>
      </c>
      <c r="J29" s="313"/>
      <c r="K29" s="314">
        <v>1950000</v>
      </c>
      <c r="M29"/>
    </row>
    <row r="30" spans="1:13" ht="15" x14ac:dyDescent="0.25">
      <c r="A30" s="311" t="s">
        <v>306</v>
      </c>
      <c r="C30" s="296" t="s">
        <v>594</v>
      </c>
      <c r="F30" s="329" t="s">
        <v>325</v>
      </c>
      <c r="G30" s="311">
        <v>26</v>
      </c>
      <c r="I30" s="313">
        <v>950000</v>
      </c>
      <c r="J30" s="313"/>
      <c r="K30" s="314">
        <v>642000</v>
      </c>
      <c r="M30"/>
    </row>
    <row r="31" spans="1:13" s="298" customFormat="1" ht="15" x14ac:dyDescent="0.25">
      <c r="A31" s="303" t="s">
        <v>595</v>
      </c>
      <c r="C31" s="298" t="s">
        <v>596</v>
      </c>
      <c r="F31" s="330"/>
      <c r="G31" s="303"/>
      <c r="I31" s="315">
        <f>(I17+I18+I19+I20+I21+I22)-(I11+I23+I24+I25+I26+I27+I28+I29+I30)</f>
        <v>31355000</v>
      </c>
      <c r="J31" s="315"/>
      <c r="K31" s="316">
        <f>(K17+K18+K19+K20+K21+K22)-(+K11+K23+K24+K25+K26+K27+K28+K29+K30)</f>
        <v>28458000</v>
      </c>
      <c r="M31"/>
    </row>
    <row r="32" spans="1:13" ht="15" x14ac:dyDescent="0.25">
      <c r="A32" s="311" t="s">
        <v>307</v>
      </c>
      <c r="C32" s="296" t="s">
        <v>597</v>
      </c>
      <c r="F32" s="329" t="s">
        <v>325</v>
      </c>
      <c r="G32" s="311">
        <v>27</v>
      </c>
      <c r="I32" s="313">
        <v>18255000</v>
      </c>
      <c r="J32" s="313"/>
      <c r="K32" s="314">
        <v>17093000</v>
      </c>
      <c r="M32"/>
    </row>
    <row r="33" spans="1:13" s="298" customFormat="1" ht="15" x14ac:dyDescent="0.25">
      <c r="A33" s="303" t="s">
        <v>598</v>
      </c>
      <c r="C33" s="298" t="s">
        <v>599</v>
      </c>
      <c r="F33" s="330"/>
      <c r="G33" s="303">
        <v>28</v>
      </c>
      <c r="I33" s="315">
        <f>I31-I32</f>
        <v>13100000</v>
      </c>
      <c r="J33" s="315"/>
      <c r="K33" s="316">
        <f>K31-K32</f>
        <v>11365000</v>
      </c>
      <c r="M33"/>
    </row>
    <row r="34" spans="1:13" ht="15" x14ac:dyDescent="0.25">
      <c r="A34" s="311" t="s">
        <v>321</v>
      </c>
      <c r="C34" s="296" t="s">
        <v>600</v>
      </c>
      <c r="F34" s="329" t="s">
        <v>326</v>
      </c>
      <c r="G34" s="311">
        <v>28</v>
      </c>
      <c r="I34" s="313"/>
      <c r="J34" s="313"/>
      <c r="K34" s="314">
        <v>0</v>
      </c>
      <c r="M34"/>
    </row>
    <row r="35" spans="1:13" ht="15" x14ac:dyDescent="0.25">
      <c r="A35" s="311" t="s">
        <v>308</v>
      </c>
      <c r="C35" s="296" t="s">
        <v>601</v>
      </c>
      <c r="F35" s="329" t="s">
        <v>325</v>
      </c>
      <c r="G35" s="311" t="s">
        <v>791</v>
      </c>
      <c r="I35" s="313">
        <v>2500000</v>
      </c>
      <c r="J35" s="313"/>
      <c r="K35" s="314">
        <v>2500000</v>
      </c>
      <c r="M35"/>
    </row>
    <row r="36" spans="1:13" s="298" customFormat="1" ht="15" x14ac:dyDescent="0.25">
      <c r="A36" s="319" t="s">
        <v>602</v>
      </c>
      <c r="B36" s="318"/>
      <c r="C36" s="318" t="s">
        <v>603</v>
      </c>
      <c r="D36" s="318"/>
      <c r="E36" s="318"/>
      <c r="F36" s="331"/>
      <c r="G36" s="319"/>
      <c r="H36" s="318"/>
      <c r="I36" s="320">
        <f>I33+I34-I35</f>
        <v>10600000</v>
      </c>
      <c r="J36" s="320"/>
      <c r="K36" s="271">
        <f>K33+K34-K35</f>
        <v>8865000</v>
      </c>
      <c r="M36"/>
    </row>
    <row r="37" spans="1:13" ht="15" x14ac:dyDescent="0.25">
      <c r="A37" s="311" t="s">
        <v>322</v>
      </c>
      <c r="C37" s="296" t="s">
        <v>604</v>
      </c>
      <c r="F37" s="329" t="s">
        <v>326</v>
      </c>
      <c r="G37" s="311">
        <v>29</v>
      </c>
      <c r="I37" s="313"/>
      <c r="J37" s="313"/>
      <c r="K37" s="314"/>
      <c r="M37"/>
    </row>
    <row r="38" spans="1:13" ht="15" x14ac:dyDescent="0.25">
      <c r="A38" s="311" t="s">
        <v>323</v>
      </c>
      <c r="C38" s="296" t="s">
        <v>605</v>
      </c>
      <c r="F38" s="329" t="s">
        <v>326</v>
      </c>
      <c r="G38" s="311">
        <v>28</v>
      </c>
      <c r="I38" s="313"/>
      <c r="J38" s="313"/>
      <c r="K38" s="314"/>
      <c r="M38"/>
    </row>
    <row r="39" spans="1:13" ht="15" x14ac:dyDescent="0.25">
      <c r="A39" s="311" t="s">
        <v>606</v>
      </c>
      <c r="C39" s="296" t="s">
        <v>607</v>
      </c>
      <c r="F39" s="329" t="s">
        <v>326</v>
      </c>
      <c r="G39" s="311">
        <v>12</v>
      </c>
      <c r="I39" s="313"/>
      <c r="J39" s="313"/>
      <c r="K39" s="314"/>
      <c r="M39"/>
    </row>
    <row r="40" spans="1:13" ht="15" x14ac:dyDescent="0.25">
      <c r="A40" s="311" t="s">
        <v>609</v>
      </c>
      <c r="C40" s="296" t="s">
        <v>608</v>
      </c>
      <c r="F40" s="329" t="s">
        <v>325</v>
      </c>
      <c r="G40" s="311">
        <v>29</v>
      </c>
      <c r="I40" s="313">
        <v>1200000</v>
      </c>
      <c r="J40" s="313"/>
      <c r="K40" s="314">
        <v>965000</v>
      </c>
      <c r="M40"/>
    </row>
    <row r="41" spans="1:13" ht="15" x14ac:dyDescent="0.25">
      <c r="A41" s="311" t="s">
        <v>610</v>
      </c>
      <c r="C41" s="296" t="s">
        <v>611</v>
      </c>
      <c r="F41" s="329" t="s">
        <v>325</v>
      </c>
      <c r="G41" s="311" t="s">
        <v>791</v>
      </c>
      <c r="I41" s="313"/>
      <c r="J41" s="313"/>
      <c r="K41" s="314"/>
      <c r="M41"/>
    </row>
    <row r="42" spans="1:13" s="298" customFormat="1" ht="15" x14ac:dyDescent="0.25">
      <c r="A42" s="319" t="s">
        <v>612</v>
      </c>
      <c r="B42" s="318"/>
      <c r="C42" s="318" t="s">
        <v>613</v>
      </c>
      <c r="D42" s="318"/>
      <c r="E42" s="318"/>
      <c r="F42" s="331"/>
      <c r="G42" s="319"/>
      <c r="H42" s="318"/>
      <c r="I42" s="320">
        <f>(I37+I38+I39)-(I40+I41)</f>
        <v>-1200000</v>
      </c>
      <c r="J42" s="320"/>
      <c r="K42" s="271">
        <f>(K37+K38+K39)-(K40+K41)</f>
        <v>-965000</v>
      </c>
      <c r="M42"/>
    </row>
    <row r="43" spans="1:13" s="298" customFormat="1" ht="15" x14ac:dyDescent="0.25">
      <c r="A43" s="319" t="s">
        <v>614</v>
      </c>
      <c r="B43" s="318"/>
      <c r="C43" s="318" t="s">
        <v>615</v>
      </c>
      <c r="D43" s="318"/>
      <c r="E43" s="318"/>
      <c r="F43" s="331"/>
      <c r="G43" s="319"/>
      <c r="H43" s="318"/>
      <c r="I43" s="320">
        <f>I36+I42</f>
        <v>9400000</v>
      </c>
      <c r="J43" s="320"/>
      <c r="K43" s="271">
        <f>K36+K42</f>
        <v>7900000</v>
      </c>
      <c r="M43"/>
    </row>
    <row r="44" spans="1:13" ht="15" x14ac:dyDescent="0.25">
      <c r="A44" s="311" t="s">
        <v>324</v>
      </c>
      <c r="C44" s="296" t="s">
        <v>616</v>
      </c>
      <c r="F44" s="329" t="s">
        <v>326</v>
      </c>
      <c r="G44" s="311" t="s">
        <v>792</v>
      </c>
      <c r="I44" s="313"/>
      <c r="J44" s="313"/>
      <c r="K44" s="314"/>
      <c r="M44"/>
    </row>
    <row r="45" spans="1:13" ht="15" x14ac:dyDescent="0.25">
      <c r="A45" s="311" t="s">
        <v>617</v>
      </c>
      <c r="C45" s="296" t="s">
        <v>618</v>
      </c>
      <c r="F45" s="329" t="s">
        <v>326</v>
      </c>
      <c r="G45" s="311">
        <v>30</v>
      </c>
      <c r="I45" s="313"/>
      <c r="J45" s="313"/>
      <c r="K45" s="314"/>
      <c r="M45"/>
    </row>
    <row r="46" spans="1:13" ht="15" x14ac:dyDescent="0.25">
      <c r="A46" s="311" t="s">
        <v>619</v>
      </c>
      <c r="C46" s="296" t="s">
        <v>620</v>
      </c>
      <c r="F46" s="329" t="s">
        <v>325</v>
      </c>
      <c r="G46" s="311" t="s">
        <v>792</v>
      </c>
      <c r="I46" s="313"/>
      <c r="J46" s="313"/>
      <c r="K46" s="314"/>
      <c r="M46"/>
    </row>
    <row r="47" spans="1:13" ht="15" x14ac:dyDescent="0.25">
      <c r="A47" s="311" t="s">
        <v>309</v>
      </c>
      <c r="C47" s="296" t="s">
        <v>621</v>
      </c>
      <c r="F47" s="329" t="s">
        <v>325</v>
      </c>
      <c r="G47" s="311">
        <v>30</v>
      </c>
      <c r="I47" s="313"/>
      <c r="J47" s="313"/>
      <c r="K47" s="314"/>
      <c r="M47"/>
    </row>
    <row r="48" spans="1:13" s="298" customFormat="1" ht="15" x14ac:dyDescent="0.25">
      <c r="A48" s="319" t="s">
        <v>622</v>
      </c>
      <c r="B48" s="318"/>
      <c r="C48" s="318" t="s">
        <v>623</v>
      </c>
      <c r="D48" s="318"/>
      <c r="E48" s="318"/>
      <c r="F48" s="331"/>
      <c r="G48" s="319"/>
      <c r="H48" s="318"/>
      <c r="I48" s="320">
        <f>(I44+I45)-(I46+I47)</f>
        <v>0</v>
      </c>
      <c r="J48" s="320"/>
      <c r="K48" s="271">
        <f>(K44+K45)-(K46+K47)</f>
        <v>0</v>
      </c>
      <c r="M48"/>
    </row>
    <row r="49" spans="1:13" ht="15" x14ac:dyDescent="0.25">
      <c r="A49" s="311" t="s">
        <v>310</v>
      </c>
      <c r="C49" s="296" t="s">
        <v>624</v>
      </c>
      <c r="F49" s="329" t="s">
        <v>325</v>
      </c>
      <c r="G49" s="311">
        <v>30</v>
      </c>
      <c r="I49" s="313"/>
      <c r="J49" s="313"/>
      <c r="K49" s="314"/>
      <c r="M49"/>
    </row>
    <row r="50" spans="1:13" ht="15" x14ac:dyDescent="0.25">
      <c r="A50" s="311" t="s">
        <v>311</v>
      </c>
      <c r="C50" s="296" t="s">
        <v>625</v>
      </c>
      <c r="F50" s="329" t="s">
        <v>325</v>
      </c>
      <c r="G50" s="311"/>
      <c r="I50" s="313">
        <v>3400000</v>
      </c>
      <c r="J50" s="313"/>
      <c r="K50" s="314">
        <v>2900000</v>
      </c>
      <c r="M50"/>
    </row>
    <row r="51" spans="1:13" s="298" customFormat="1" ht="15.75" thickBot="1" x14ac:dyDescent="0.3">
      <c r="A51" s="321" t="s">
        <v>626</v>
      </c>
      <c r="B51" s="322"/>
      <c r="C51" s="322" t="s">
        <v>627</v>
      </c>
      <c r="D51" s="322"/>
      <c r="E51" s="322"/>
      <c r="F51" s="332"/>
      <c r="G51" s="322"/>
      <c r="H51" s="322"/>
      <c r="I51" s="323">
        <f>(I43+I48)-(I49+I50)</f>
        <v>6000000</v>
      </c>
      <c r="J51" s="323"/>
      <c r="K51" s="324">
        <f>(K43+K48)-(K49+K50)</f>
        <v>5000000</v>
      </c>
      <c r="M51"/>
    </row>
    <row r="52" spans="1:13" ht="11.25" thickTop="1" x14ac:dyDescent="0.15"/>
    <row r="53" spans="1:13" x14ac:dyDescent="0.15">
      <c r="I53" s="333"/>
      <c r="J53" s="326"/>
      <c r="K53" s="333"/>
    </row>
    <row r="54" spans="1:13" x14ac:dyDescent="0.15">
      <c r="I54" s="326"/>
      <c r="J54" s="326"/>
      <c r="K54" s="326"/>
    </row>
    <row r="55" spans="1:13" x14ac:dyDescent="0.15">
      <c r="I55" s="333"/>
      <c r="J55" s="326"/>
      <c r="K55" s="333"/>
    </row>
    <row r="56" spans="1:13" x14ac:dyDescent="0.15">
      <c r="I56" s="333"/>
      <c r="J56" s="326"/>
      <c r="K56" s="333"/>
    </row>
    <row r="57" spans="1:13" x14ac:dyDescent="0.15">
      <c r="I57" s="333"/>
      <c r="J57" s="326"/>
      <c r="K57" s="333"/>
    </row>
    <row r="58" spans="1:13" x14ac:dyDescent="0.15">
      <c r="I58" s="326"/>
      <c r="J58" s="326"/>
      <c r="K58" s="326"/>
    </row>
    <row r="59" spans="1:13" x14ac:dyDescent="0.15">
      <c r="I59" s="326"/>
      <c r="J59" s="326"/>
      <c r="K59" s="326"/>
    </row>
    <row r="60" spans="1:13" x14ac:dyDescent="0.15">
      <c r="I60" s="326"/>
      <c r="J60" s="326"/>
      <c r="K60" s="326"/>
    </row>
    <row r="61" spans="1:13" x14ac:dyDescent="0.15">
      <c r="I61" s="326"/>
      <c r="J61" s="326"/>
      <c r="K61" s="326"/>
    </row>
    <row r="62" spans="1:13" x14ac:dyDescent="0.15">
      <c r="I62" s="326"/>
      <c r="J62" s="326"/>
      <c r="K62" s="326"/>
    </row>
    <row r="63" spans="1:13" x14ac:dyDescent="0.15">
      <c r="I63" s="326"/>
      <c r="J63" s="326"/>
      <c r="K63" s="326"/>
    </row>
    <row r="64" spans="1:13" x14ac:dyDescent="0.15">
      <c r="I64" s="326"/>
      <c r="J64" s="326"/>
      <c r="K64" s="326"/>
    </row>
    <row r="65" spans="9:11" x14ac:dyDescent="0.15">
      <c r="I65" s="326"/>
      <c r="J65" s="326"/>
      <c r="K65" s="326"/>
    </row>
    <row r="66" spans="9:11" x14ac:dyDescent="0.15">
      <c r="I66" s="326"/>
      <c r="J66" s="326"/>
      <c r="K66" s="326"/>
    </row>
    <row r="67" spans="9:11" x14ac:dyDescent="0.15">
      <c r="I67" s="326"/>
      <c r="J67" s="326"/>
      <c r="K67" s="326"/>
    </row>
    <row r="68" spans="9:11" x14ac:dyDescent="0.15">
      <c r="I68" s="326"/>
      <c r="J68" s="326"/>
      <c r="K68" s="326"/>
    </row>
    <row r="69" spans="9:11" x14ac:dyDescent="0.15">
      <c r="I69" s="326"/>
      <c r="J69" s="326"/>
      <c r="K69" s="326"/>
    </row>
    <row r="70" spans="9:11" x14ac:dyDescent="0.15">
      <c r="I70" s="326"/>
      <c r="J70" s="326"/>
      <c r="K70" s="326"/>
    </row>
  </sheetData>
  <mergeCells count="6">
    <mergeCell ref="J2:K2"/>
    <mergeCell ref="J3:K3"/>
    <mergeCell ref="A5:K5"/>
    <mergeCell ref="A7:A9"/>
    <mergeCell ref="C7:E9"/>
    <mergeCell ref="G7: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8"/>
  <sheetViews>
    <sheetView showGridLines="0" workbookViewId="0">
      <selection activeCell="C9" sqref="C9"/>
    </sheetView>
  </sheetViews>
  <sheetFormatPr baseColWidth="10" defaultColWidth="9.140625" defaultRowHeight="15" x14ac:dyDescent="0.25"/>
  <cols>
    <col min="1" max="1" width="5.140625" style="411" customWidth="1"/>
    <col min="2" max="2" width="24.7109375" customWidth="1"/>
    <col min="3" max="3" width="37.28515625" customWidth="1"/>
    <col min="4" max="4" width="15.140625" style="384" customWidth="1"/>
    <col min="5" max="5" width="2.140625" style="384" customWidth="1"/>
    <col min="6" max="6" width="13.7109375" style="384" customWidth="1"/>
  </cols>
  <sheetData>
    <row r="2" spans="1:9" ht="15.75" x14ac:dyDescent="0.25">
      <c r="B2" s="297" t="s">
        <v>641</v>
      </c>
      <c r="C2" s="422" t="str">
        <f>+Bilan!D2</f>
        <v>ELESYST SA</v>
      </c>
      <c r="E2" s="297" t="s">
        <v>642</v>
      </c>
      <c r="F2" s="423" t="str">
        <f>+Bilan!Q2</f>
        <v>2019</v>
      </c>
      <c r="H2" s="466"/>
      <c r="I2" s="455"/>
    </row>
    <row r="3" spans="1:9" ht="15.75" x14ac:dyDescent="0.25">
      <c r="B3" s="297" t="s">
        <v>643</v>
      </c>
      <c r="C3" s="421" t="str">
        <f>+Bilan!D3</f>
        <v>MO1779U7P00197</v>
      </c>
      <c r="E3" s="297" t="s">
        <v>644</v>
      </c>
      <c r="F3" s="424">
        <f>+Bilan!Q3</f>
        <v>12</v>
      </c>
      <c r="H3" s="466"/>
      <c r="I3" s="455"/>
    </row>
    <row r="4" spans="1:9" x14ac:dyDescent="0.25">
      <c r="B4" s="326" t="s">
        <v>973</v>
      </c>
    </row>
    <row r="5" spans="1:9" ht="18.75" x14ac:dyDescent="0.3">
      <c r="B5" s="467" t="s">
        <v>972</v>
      </c>
      <c r="C5" s="467"/>
      <c r="D5" s="467"/>
      <c r="E5" s="467"/>
      <c r="F5" s="467"/>
    </row>
    <row r="7" spans="1:9" ht="15.75" thickBot="1" x14ac:dyDescent="0.3">
      <c r="A7" s="412" t="s">
        <v>520</v>
      </c>
      <c r="B7" s="335" t="s">
        <v>572</v>
      </c>
      <c r="C7" s="378"/>
      <c r="D7" s="416" t="s">
        <v>526</v>
      </c>
      <c r="E7" s="382"/>
      <c r="F7" s="416" t="s">
        <v>793</v>
      </c>
    </row>
    <row r="8" spans="1:9" x14ac:dyDescent="0.25">
      <c r="A8" s="413"/>
      <c r="B8" s="379"/>
      <c r="C8" s="380"/>
      <c r="D8" s="417"/>
      <c r="E8" s="383"/>
      <c r="F8" s="417"/>
    </row>
    <row r="9" spans="1:9" x14ac:dyDescent="0.25">
      <c r="A9" s="414"/>
      <c r="B9" s="377" t="s">
        <v>958</v>
      </c>
      <c r="C9" s="298"/>
      <c r="D9" s="418"/>
      <c r="F9" s="418"/>
    </row>
    <row r="10" spans="1:9" s="387" customFormat="1" x14ac:dyDescent="0.25">
      <c r="A10" s="414" t="str">
        <f>+'Flux Trésorerie'!A20</f>
        <v>FF</v>
      </c>
      <c r="B10" s="381" t="s">
        <v>570</v>
      </c>
      <c r="C10" s="385"/>
      <c r="D10" s="419">
        <f>-D11-D12-D13-D14</f>
        <v>0</v>
      </c>
      <c r="E10" s="386"/>
      <c r="F10" s="419">
        <f>-F11-F12-F13-F14</f>
        <v>0</v>
      </c>
    </row>
    <row r="11" spans="1:9" x14ac:dyDescent="0.25">
      <c r="A11" s="413"/>
      <c r="B11" s="376" t="s">
        <v>630</v>
      </c>
      <c r="C11" s="338"/>
      <c r="D11" s="418"/>
      <c r="F11" s="418"/>
    </row>
    <row r="12" spans="1:9" x14ac:dyDescent="0.25">
      <c r="A12" s="413"/>
      <c r="B12" s="376" t="s">
        <v>631</v>
      </c>
      <c r="C12" s="338"/>
      <c r="D12" s="418"/>
      <c r="F12" s="418"/>
    </row>
    <row r="13" spans="1:9" x14ac:dyDescent="0.25">
      <c r="A13" s="413"/>
      <c r="B13" s="376" t="s">
        <v>632</v>
      </c>
      <c r="C13" s="338"/>
      <c r="D13" s="418"/>
      <c r="F13" s="418"/>
    </row>
    <row r="14" spans="1:9" x14ac:dyDescent="0.25">
      <c r="A14" s="413"/>
      <c r="B14" s="376" t="s">
        <v>633</v>
      </c>
      <c r="C14" s="338"/>
      <c r="D14" s="418"/>
      <c r="F14" s="418"/>
    </row>
    <row r="15" spans="1:9" s="387" customFormat="1" x14ac:dyDescent="0.25">
      <c r="A15" s="414" t="str">
        <f>+'Flux Trésorerie'!A21</f>
        <v>FG</v>
      </c>
      <c r="B15" s="381" t="s">
        <v>796</v>
      </c>
      <c r="C15" s="385"/>
      <c r="D15" s="419">
        <f>-D16-D17-D18-D19-D20-D21</f>
        <v>0</v>
      </c>
      <c r="E15" s="386"/>
      <c r="F15" s="419">
        <f>-F16-F17-F18-F19-F20-F21</f>
        <v>0</v>
      </c>
    </row>
    <row r="16" spans="1:9" x14ac:dyDescent="0.25">
      <c r="A16" s="413"/>
      <c r="B16" s="376" t="s">
        <v>635</v>
      </c>
      <c r="C16" s="338"/>
      <c r="D16" s="418"/>
      <c r="F16" s="418"/>
    </row>
    <row r="17" spans="1:6" x14ac:dyDescent="0.25">
      <c r="A17" s="413"/>
      <c r="B17" s="376" t="s">
        <v>636</v>
      </c>
      <c r="C17" s="338"/>
      <c r="D17" s="418"/>
      <c r="F17" s="418"/>
    </row>
    <row r="18" spans="1:6" x14ac:dyDescent="0.25">
      <c r="A18" s="413"/>
      <c r="B18" s="376" t="s">
        <v>637</v>
      </c>
      <c r="C18" s="338"/>
      <c r="D18" s="418"/>
      <c r="F18" s="418"/>
    </row>
    <row r="19" spans="1:6" x14ac:dyDescent="0.25">
      <c r="A19" s="413"/>
      <c r="B19" s="376" t="s">
        <v>638</v>
      </c>
      <c r="C19" s="338"/>
      <c r="D19" s="418"/>
      <c r="F19" s="418"/>
    </row>
    <row r="20" spans="1:6" x14ac:dyDescent="0.25">
      <c r="A20" s="413"/>
      <c r="B20" s="376" t="s">
        <v>639</v>
      </c>
      <c r="C20" s="338"/>
      <c r="D20" s="418"/>
      <c r="F20" s="418"/>
    </row>
    <row r="21" spans="1:6" x14ac:dyDescent="0.25">
      <c r="A21" s="413"/>
      <c r="B21" s="376" t="s">
        <v>640</v>
      </c>
      <c r="C21" s="338"/>
      <c r="D21" s="418"/>
      <c r="F21" s="418"/>
    </row>
    <row r="22" spans="1:6" s="387" customFormat="1" x14ac:dyDescent="0.25">
      <c r="A22" s="414" t="str">
        <f>+'Flux Trésorerie'!A22</f>
        <v>FH</v>
      </c>
      <c r="B22" s="381" t="s">
        <v>797</v>
      </c>
      <c r="C22" s="385"/>
      <c r="D22" s="419">
        <f>-D23-D24</f>
        <v>0</v>
      </c>
      <c r="E22" s="386"/>
      <c r="F22" s="419">
        <f>-F23-F24</f>
        <v>0</v>
      </c>
    </row>
    <row r="23" spans="1:6" x14ac:dyDescent="0.25">
      <c r="A23" s="413"/>
      <c r="B23" s="376" t="s">
        <v>675</v>
      </c>
      <c r="C23" s="338"/>
      <c r="D23" s="418"/>
      <c r="F23" s="418"/>
    </row>
    <row r="24" spans="1:6" x14ac:dyDescent="0.25">
      <c r="A24" s="413"/>
      <c r="B24" s="376" t="s">
        <v>677</v>
      </c>
      <c r="C24" s="338"/>
      <c r="D24" s="418"/>
      <c r="F24" s="418"/>
    </row>
    <row r="25" spans="1:6" s="387" customFormat="1" x14ac:dyDescent="0.25">
      <c r="A25" s="414" t="str">
        <f>+'Flux Trésorerie'!A23</f>
        <v>FI</v>
      </c>
      <c r="B25" s="381" t="s">
        <v>798</v>
      </c>
      <c r="C25" s="385"/>
      <c r="D25" s="419">
        <f>D26+D27+D28+D29+D30+D31+D32+D33+D34+D35</f>
        <v>0</v>
      </c>
      <c r="E25" s="386"/>
      <c r="F25" s="419">
        <f>F26+F27+F28+F29+F30+F31+F32+F33+F34+F35</f>
        <v>0</v>
      </c>
    </row>
    <row r="26" spans="1:6" x14ac:dyDescent="0.25">
      <c r="A26" s="413"/>
      <c r="B26" s="376" t="s">
        <v>630</v>
      </c>
      <c r="C26" s="338"/>
      <c r="D26" s="418"/>
      <c r="F26" s="418"/>
    </row>
    <row r="27" spans="1:6" x14ac:dyDescent="0.25">
      <c r="A27" s="413"/>
      <c r="B27" s="376" t="s">
        <v>631</v>
      </c>
      <c r="C27" s="338"/>
      <c r="D27" s="418"/>
      <c r="F27" s="418"/>
    </row>
    <row r="28" spans="1:6" x14ac:dyDescent="0.25">
      <c r="A28" s="413"/>
      <c r="B28" s="376" t="s">
        <v>632</v>
      </c>
      <c r="C28" s="338"/>
      <c r="D28" s="418"/>
      <c r="F28" s="418"/>
    </row>
    <row r="29" spans="1:6" x14ac:dyDescent="0.25">
      <c r="A29" s="413"/>
      <c r="B29" s="376" t="s">
        <v>633</v>
      </c>
      <c r="C29" s="338"/>
      <c r="D29" s="418"/>
      <c r="F29" s="418"/>
    </row>
    <row r="30" spans="1:6" x14ac:dyDescent="0.25">
      <c r="A30" s="413"/>
      <c r="B30" s="376" t="s">
        <v>635</v>
      </c>
      <c r="C30" s="338"/>
      <c r="D30" s="418"/>
      <c r="F30" s="418"/>
    </row>
    <row r="31" spans="1:6" x14ac:dyDescent="0.25">
      <c r="A31" s="413"/>
      <c r="B31" s="376" t="s">
        <v>636</v>
      </c>
      <c r="C31" s="338"/>
      <c r="D31" s="418"/>
      <c r="F31" s="418"/>
    </row>
    <row r="32" spans="1:6" x14ac:dyDescent="0.25">
      <c r="A32" s="413"/>
      <c r="B32" s="376" t="s">
        <v>637</v>
      </c>
      <c r="C32" s="338"/>
      <c r="D32" s="418"/>
      <c r="F32" s="418"/>
    </row>
    <row r="33" spans="1:6" x14ac:dyDescent="0.25">
      <c r="A33" s="413"/>
      <c r="B33" s="376" t="s">
        <v>638</v>
      </c>
      <c r="C33" s="338"/>
      <c r="D33" s="418"/>
      <c r="F33" s="418"/>
    </row>
    <row r="34" spans="1:6" x14ac:dyDescent="0.25">
      <c r="A34" s="413"/>
      <c r="B34" s="376" t="s">
        <v>639</v>
      </c>
      <c r="C34" s="338"/>
      <c r="D34" s="418"/>
      <c r="F34" s="418"/>
    </row>
    <row r="35" spans="1:6" x14ac:dyDescent="0.25">
      <c r="A35" s="413"/>
      <c r="B35" s="376" t="s">
        <v>640</v>
      </c>
      <c r="C35" s="338"/>
      <c r="D35" s="418"/>
      <c r="F35" s="418"/>
    </row>
    <row r="36" spans="1:6" s="387" customFormat="1" x14ac:dyDescent="0.25">
      <c r="A36" s="414" t="str">
        <f>+'Flux Trésorerie'!A24</f>
        <v>FJ</v>
      </c>
      <c r="B36" s="381" t="s">
        <v>799</v>
      </c>
      <c r="C36" s="385"/>
      <c r="D36" s="419">
        <f>D37+D38</f>
        <v>0</v>
      </c>
      <c r="E36" s="386"/>
      <c r="F36" s="419">
        <f>F37+F38</f>
        <v>0</v>
      </c>
    </row>
    <row r="37" spans="1:6" x14ac:dyDescent="0.25">
      <c r="A37" s="413"/>
      <c r="B37" s="376" t="s">
        <v>675</v>
      </c>
      <c r="C37" s="338"/>
      <c r="D37" s="418"/>
      <c r="F37" s="418"/>
    </row>
    <row r="38" spans="1:6" x14ac:dyDescent="0.25">
      <c r="A38" s="413"/>
      <c r="B38" s="376" t="s">
        <v>677</v>
      </c>
      <c r="C38" s="338"/>
      <c r="D38" s="418"/>
      <c r="F38" s="418"/>
    </row>
    <row r="39" spans="1:6" s="266" customFormat="1" x14ac:dyDescent="0.25">
      <c r="A39" s="415" t="str">
        <f>+'Flux Trésorerie'!A25</f>
        <v>ZC</v>
      </c>
      <c r="B39" s="388" t="s">
        <v>957</v>
      </c>
      <c r="C39" s="388"/>
      <c r="D39" s="420">
        <f>D36+D25+D22+D15+D10</f>
        <v>0</v>
      </c>
      <c r="E39" s="389"/>
      <c r="F39" s="420">
        <f>F36+F25+F22+F15+F10</f>
        <v>0</v>
      </c>
    </row>
    <row r="40" spans="1:6" x14ac:dyDescent="0.25">
      <c r="A40" s="413"/>
      <c r="B40" s="298"/>
      <c r="C40" s="298"/>
      <c r="F40" s="418"/>
    </row>
    <row r="41" spans="1:6" s="387" customFormat="1" x14ac:dyDescent="0.25">
      <c r="A41" s="414"/>
      <c r="B41" s="390" t="s">
        <v>543</v>
      </c>
      <c r="C41" s="391"/>
      <c r="D41" s="386"/>
      <c r="E41" s="386"/>
      <c r="F41" s="419"/>
    </row>
    <row r="42" spans="1:6" x14ac:dyDescent="0.25">
      <c r="A42" s="414" t="str">
        <f>+'Flux Trésorerie'!A28</f>
        <v>FK</v>
      </c>
      <c r="B42" s="338" t="s">
        <v>801</v>
      </c>
      <c r="C42" s="338"/>
      <c r="F42" s="418"/>
    </row>
    <row r="43" spans="1:6" x14ac:dyDescent="0.25">
      <c r="A43" s="414" t="str">
        <f>+'Flux Trésorerie'!A29</f>
        <v>FL</v>
      </c>
      <c r="B43" s="338" t="s">
        <v>802</v>
      </c>
      <c r="C43" s="338"/>
      <c r="F43" s="418"/>
    </row>
    <row r="44" spans="1:6" x14ac:dyDescent="0.25">
      <c r="A44" s="414" t="str">
        <f>+'Flux Trésorerie'!A30</f>
        <v>FM</v>
      </c>
      <c r="B44" s="338" t="s">
        <v>546</v>
      </c>
      <c r="C44" s="338"/>
      <c r="F44" s="418"/>
    </row>
    <row r="45" spans="1:6" x14ac:dyDescent="0.25">
      <c r="A45" s="414" t="str">
        <f>+'Flux Trésorerie'!A31</f>
        <v>FN</v>
      </c>
      <c r="B45" s="338" t="s">
        <v>803</v>
      </c>
      <c r="C45" s="338"/>
      <c r="F45" s="418"/>
    </row>
    <row r="46" spans="1:6" s="266" customFormat="1" x14ac:dyDescent="0.25">
      <c r="A46" s="415" t="str">
        <f>+'Flux Trésorerie'!A32</f>
        <v>ZD</v>
      </c>
      <c r="B46" s="388" t="s">
        <v>955</v>
      </c>
      <c r="C46" s="388"/>
      <c r="D46" s="389">
        <f>D42+D43-D44-D45</f>
        <v>0</v>
      </c>
      <c r="E46" s="389"/>
      <c r="F46" s="420">
        <f>F42+F43-F44-F45</f>
        <v>0</v>
      </c>
    </row>
    <row r="47" spans="1:6" x14ac:dyDescent="0.25">
      <c r="A47" s="414"/>
      <c r="B47" s="298"/>
      <c r="C47" s="298"/>
      <c r="F47" s="418"/>
    </row>
    <row r="48" spans="1:6" x14ac:dyDescent="0.25">
      <c r="A48" s="413"/>
      <c r="B48" s="377" t="s">
        <v>552</v>
      </c>
      <c r="C48" s="298"/>
      <c r="F48" s="418"/>
    </row>
    <row r="49" spans="1:6" x14ac:dyDescent="0.25">
      <c r="A49" s="414" t="str">
        <f>+'Flux Trésorerie'!A35</f>
        <v>FO</v>
      </c>
      <c r="B49" s="338" t="s">
        <v>804</v>
      </c>
      <c r="C49" s="338"/>
      <c r="F49" s="418"/>
    </row>
    <row r="50" spans="1:6" x14ac:dyDescent="0.25">
      <c r="A50" s="414" t="str">
        <f>+'Flux Trésorerie'!A36</f>
        <v>FP</v>
      </c>
      <c r="B50" s="338" t="s">
        <v>554</v>
      </c>
      <c r="C50" s="338"/>
      <c r="F50" s="418"/>
    </row>
    <row r="51" spans="1:6" x14ac:dyDescent="0.25">
      <c r="A51" s="414" t="str">
        <f>+'Flux Trésorerie'!A37</f>
        <v>FQ</v>
      </c>
      <c r="B51" s="338" t="s">
        <v>557</v>
      </c>
      <c r="C51" s="338"/>
      <c r="F51" s="418"/>
    </row>
    <row r="52" spans="1:6" s="125" customFormat="1" x14ac:dyDescent="0.25">
      <c r="A52" s="415" t="str">
        <f>+'Flux Trésorerie'!A38</f>
        <v>ZE</v>
      </c>
      <c r="B52" s="388" t="s">
        <v>956</v>
      </c>
      <c r="C52" s="388"/>
      <c r="D52" s="389">
        <f>D49+D50-D51</f>
        <v>0</v>
      </c>
      <c r="E52" s="389"/>
      <c r="F52" s="420">
        <f>F49+F50-F51</f>
        <v>0</v>
      </c>
    </row>
    <row r="55" spans="1:6" ht="168" x14ac:dyDescent="0.25">
      <c r="B55" s="392" t="s">
        <v>959</v>
      </c>
    </row>
    <row r="56" spans="1:6" ht="138" x14ac:dyDescent="0.25">
      <c r="B56" s="392" t="s">
        <v>960</v>
      </c>
    </row>
    <row r="59" spans="1:6" x14ac:dyDescent="0.25">
      <c r="B59" s="66" t="s">
        <v>961</v>
      </c>
    </row>
    <row r="61" spans="1:6" x14ac:dyDescent="0.25">
      <c r="B61" s="394" t="s">
        <v>962</v>
      </c>
    </row>
    <row r="62" spans="1:6" x14ac:dyDescent="0.25">
      <c r="B62" s="394" t="s">
        <v>963</v>
      </c>
    </row>
    <row r="63" spans="1:6" x14ac:dyDescent="0.25">
      <c r="B63" s="394" t="s">
        <v>964</v>
      </c>
    </row>
    <row r="64" spans="1:6" x14ac:dyDescent="0.25">
      <c r="B64" s="393" t="s">
        <v>965</v>
      </c>
    </row>
    <row r="65" spans="2:2" x14ac:dyDescent="0.25">
      <c r="B65" s="393" t="s">
        <v>966</v>
      </c>
    </row>
    <row r="66" spans="2:2" x14ac:dyDescent="0.25">
      <c r="B66" s="393" t="s">
        <v>967</v>
      </c>
    </row>
    <row r="67" spans="2:2" x14ac:dyDescent="0.25">
      <c r="B67" s="393" t="s">
        <v>968</v>
      </c>
    </row>
    <row r="68" spans="2:2" x14ac:dyDescent="0.25">
      <c r="B68" s="395" t="s">
        <v>969</v>
      </c>
    </row>
  </sheetData>
  <mergeCells count="3">
    <mergeCell ref="H3:I3"/>
    <mergeCell ref="B5:F5"/>
    <mergeCell ref="H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8"/>
  <sheetViews>
    <sheetView showGridLines="0" workbookViewId="0">
      <selection activeCell="T8" sqref="T8"/>
    </sheetView>
  </sheetViews>
  <sheetFormatPr baseColWidth="10" defaultColWidth="2.28515625" defaultRowHeight="10.5" x14ac:dyDescent="0.15"/>
  <cols>
    <col min="1" max="1" width="3.7109375" style="296" customWidth="1"/>
    <col min="2" max="2" width="1.7109375" style="296" customWidth="1"/>
    <col min="3" max="4" width="27.7109375" style="296" customWidth="1"/>
    <col min="5" max="5" width="2.140625" style="296" bestFit="1" customWidth="1"/>
    <col min="6" max="6" width="1.7109375" style="296" customWidth="1"/>
    <col min="7" max="7" width="4.28515625" style="296" bestFit="1" customWidth="1"/>
    <col min="8" max="8" width="1.7109375" style="296" customWidth="1"/>
    <col min="9" max="9" width="13.7109375" style="296" customWidth="1"/>
    <col min="10" max="10" width="1.7109375" style="296" customWidth="1"/>
    <col min="11" max="11" width="13.7109375" style="296" customWidth="1"/>
    <col min="12" max="256" width="2.28515625" style="296"/>
    <col min="257" max="257" width="3.7109375" style="296" customWidth="1"/>
    <col min="258" max="258" width="1.7109375" style="296" customWidth="1"/>
    <col min="259" max="260" width="27.7109375" style="296" customWidth="1"/>
    <col min="261" max="261" width="2.140625" style="296" bestFit="1" customWidth="1"/>
    <col min="262" max="262" width="1.7109375" style="296" customWidth="1"/>
    <col min="263" max="263" width="4.28515625" style="296" bestFit="1" customWidth="1"/>
    <col min="264" max="264" width="1.7109375" style="296" customWidth="1"/>
    <col min="265" max="265" width="13.7109375" style="296" customWidth="1"/>
    <col min="266" max="266" width="1.7109375" style="296" customWidth="1"/>
    <col min="267" max="267" width="13.7109375" style="296" customWidth="1"/>
    <col min="268" max="512" width="2.28515625" style="296"/>
    <col min="513" max="513" width="3.7109375" style="296" customWidth="1"/>
    <col min="514" max="514" width="1.7109375" style="296" customWidth="1"/>
    <col min="515" max="516" width="27.7109375" style="296" customWidth="1"/>
    <col min="517" max="517" width="2.140625" style="296" bestFit="1" customWidth="1"/>
    <col min="518" max="518" width="1.7109375" style="296" customWidth="1"/>
    <col min="519" max="519" width="4.28515625" style="296" bestFit="1" customWidth="1"/>
    <col min="520" max="520" width="1.7109375" style="296" customWidth="1"/>
    <col min="521" max="521" width="13.7109375" style="296" customWidth="1"/>
    <col min="522" max="522" width="1.7109375" style="296" customWidth="1"/>
    <col min="523" max="523" width="13.7109375" style="296" customWidth="1"/>
    <col min="524" max="768" width="2.28515625" style="296"/>
    <col min="769" max="769" width="3.7109375" style="296" customWidth="1"/>
    <col min="770" max="770" width="1.7109375" style="296" customWidth="1"/>
    <col min="771" max="772" width="27.7109375" style="296" customWidth="1"/>
    <col min="773" max="773" width="2.140625" style="296" bestFit="1" customWidth="1"/>
    <col min="774" max="774" width="1.7109375" style="296" customWidth="1"/>
    <col min="775" max="775" width="4.28515625" style="296" bestFit="1" customWidth="1"/>
    <col min="776" max="776" width="1.7109375" style="296" customWidth="1"/>
    <col min="777" max="777" width="13.7109375" style="296" customWidth="1"/>
    <col min="778" max="778" width="1.7109375" style="296" customWidth="1"/>
    <col min="779" max="779" width="13.7109375" style="296" customWidth="1"/>
    <col min="780" max="1024" width="2.28515625" style="296"/>
    <col min="1025" max="1025" width="3.7109375" style="296" customWidth="1"/>
    <col min="1026" max="1026" width="1.7109375" style="296" customWidth="1"/>
    <col min="1027" max="1028" width="27.7109375" style="296" customWidth="1"/>
    <col min="1029" max="1029" width="2.140625" style="296" bestFit="1" customWidth="1"/>
    <col min="1030" max="1030" width="1.7109375" style="296" customWidth="1"/>
    <col min="1031" max="1031" width="4.28515625" style="296" bestFit="1" customWidth="1"/>
    <col min="1032" max="1032" width="1.7109375" style="296" customWidth="1"/>
    <col min="1033" max="1033" width="13.7109375" style="296" customWidth="1"/>
    <col min="1034" max="1034" width="1.7109375" style="296" customWidth="1"/>
    <col min="1035" max="1035" width="13.7109375" style="296" customWidth="1"/>
    <col min="1036" max="1280" width="2.28515625" style="296"/>
    <col min="1281" max="1281" width="3.7109375" style="296" customWidth="1"/>
    <col min="1282" max="1282" width="1.7109375" style="296" customWidth="1"/>
    <col min="1283" max="1284" width="27.7109375" style="296" customWidth="1"/>
    <col min="1285" max="1285" width="2.140625" style="296" bestFit="1" customWidth="1"/>
    <col min="1286" max="1286" width="1.7109375" style="296" customWidth="1"/>
    <col min="1287" max="1287" width="4.28515625" style="296" bestFit="1" customWidth="1"/>
    <col min="1288" max="1288" width="1.7109375" style="296" customWidth="1"/>
    <col min="1289" max="1289" width="13.7109375" style="296" customWidth="1"/>
    <col min="1290" max="1290" width="1.7109375" style="296" customWidth="1"/>
    <col min="1291" max="1291" width="13.7109375" style="296" customWidth="1"/>
    <col min="1292" max="1536" width="2.28515625" style="296"/>
    <col min="1537" max="1537" width="3.7109375" style="296" customWidth="1"/>
    <col min="1538" max="1538" width="1.7109375" style="296" customWidth="1"/>
    <col min="1539" max="1540" width="27.7109375" style="296" customWidth="1"/>
    <col min="1541" max="1541" width="2.140625" style="296" bestFit="1" customWidth="1"/>
    <col min="1542" max="1542" width="1.7109375" style="296" customWidth="1"/>
    <col min="1543" max="1543" width="4.28515625" style="296" bestFit="1" customWidth="1"/>
    <col min="1544" max="1544" width="1.7109375" style="296" customWidth="1"/>
    <col min="1545" max="1545" width="13.7109375" style="296" customWidth="1"/>
    <col min="1546" max="1546" width="1.7109375" style="296" customWidth="1"/>
    <col min="1547" max="1547" width="13.7109375" style="296" customWidth="1"/>
    <col min="1548" max="1792" width="2.28515625" style="296"/>
    <col min="1793" max="1793" width="3.7109375" style="296" customWidth="1"/>
    <col min="1794" max="1794" width="1.7109375" style="296" customWidth="1"/>
    <col min="1795" max="1796" width="27.7109375" style="296" customWidth="1"/>
    <col min="1797" max="1797" width="2.140625" style="296" bestFit="1" customWidth="1"/>
    <col min="1798" max="1798" width="1.7109375" style="296" customWidth="1"/>
    <col min="1799" max="1799" width="4.28515625" style="296" bestFit="1" customWidth="1"/>
    <col min="1800" max="1800" width="1.7109375" style="296" customWidth="1"/>
    <col min="1801" max="1801" width="13.7109375" style="296" customWidth="1"/>
    <col min="1802" max="1802" width="1.7109375" style="296" customWidth="1"/>
    <col min="1803" max="1803" width="13.7109375" style="296" customWidth="1"/>
    <col min="1804" max="2048" width="2.28515625" style="296"/>
    <col min="2049" max="2049" width="3.7109375" style="296" customWidth="1"/>
    <col min="2050" max="2050" width="1.7109375" style="296" customWidth="1"/>
    <col min="2051" max="2052" width="27.7109375" style="296" customWidth="1"/>
    <col min="2053" max="2053" width="2.140625" style="296" bestFit="1" customWidth="1"/>
    <col min="2054" max="2054" width="1.7109375" style="296" customWidth="1"/>
    <col min="2055" max="2055" width="4.28515625" style="296" bestFit="1" customWidth="1"/>
    <col min="2056" max="2056" width="1.7109375" style="296" customWidth="1"/>
    <col min="2057" max="2057" width="13.7109375" style="296" customWidth="1"/>
    <col min="2058" max="2058" width="1.7109375" style="296" customWidth="1"/>
    <col min="2059" max="2059" width="13.7109375" style="296" customWidth="1"/>
    <col min="2060" max="2304" width="2.28515625" style="296"/>
    <col min="2305" max="2305" width="3.7109375" style="296" customWidth="1"/>
    <col min="2306" max="2306" width="1.7109375" style="296" customWidth="1"/>
    <col min="2307" max="2308" width="27.7109375" style="296" customWidth="1"/>
    <col min="2309" max="2309" width="2.140625" style="296" bestFit="1" customWidth="1"/>
    <col min="2310" max="2310" width="1.7109375" style="296" customWidth="1"/>
    <col min="2311" max="2311" width="4.28515625" style="296" bestFit="1" customWidth="1"/>
    <col min="2312" max="2312" width="1.7109375" style="296" customWidth="1"/>
    <col min="2313" max="2313" width="13.7109375" style="296" customWidth="1"/>
    <col min="2314" max="2314" width="1.7109375" style="296" customWidth="1"/>
    <col min="2315" max="2315" width="13.7109375" style="296" customWidth="1"/>
    <col min="2316" max="2560" width="2.28515625" style="296"/>
    <col min="2561" max="2561" width="3.7109375" style="296" customWidth="1"/>
    <col min="2562" max="2562" width="1.7109375" style="296" customWidth="1"/>
    <col min="2563" max="2564" width="27.7109375" style="296" customWidth="1"/>
    <col min="2565" max="2565" width="2.140625" style="296" bestFit="1" customWidth="1"/>
    <col min="2566" max="2566" width="1.7109375" style="296" customWidth="1"/>
    <col min="2567" max="2567" width="4.28515625" style="296" bestFit="1" customWidth="1"/>
    <col min="2568" max="2568" width="1.7109375" style="296" customWidth="1"/>
    <col min="2569" max="2569" width="13.7109375" style="296" customWidth="1"/>
    <col min="2570" max="2570" width="1.7109375" style="296" customWidth="1"/>
    <col min="2571" max="2571" width="13.7109375" style="296" customWidth="1"/>
    <col min="2572" max="2816" width="2.28515625" style="296"/>
    <col min="2817" max="2817" width="3.7109375" style="296" customWidth="1"/>
    <col min="2818" max="2818" width="1.7109375" style="296" customWidth="1"/>
    <col min="2819" max="2820" width="27.7109375" style="296" customWidth="1"/>
    <col min="2821" max="2821" width="2.140625" style="296" bestFit="1" customWidth="1"/>
    <col min="2822" max="2822" width="1.7109375" style="296" customWidth="1"/>
    <col min="2823" max="2823" width="4.28515625" style="296" bestFit="1" customWidth="1"/>
    <col min="2824" max="2824" width="1.7109375" style="296" customWidth="1"/>
    <col min="2825" max="2825" width="13.7109375" style="296" customWidth="1"/>
    <col min="2826" max="2826" width="1.7109375" style="296" customWidth="1"/>
    <col min="2827" max="2827" width="13.7109375" style="296" customWidth="1"/>
    <col min="2828" max="3072" width="2.28515625" style="296"/>
    <col min="3073" max="3073" width="3.7109375" style="296" customWidth="1"/>
    <col min="3074" max="3074" width="1.7109375" style="296" customWidth="1"/>
    <col min="3075" max="3076" width="27.7109375" style="296" customWidth="1"/>
    <col min="3077" max="3077" width="2.140625" style="296" bestFit="1" customWidth="1"/>
    <col min="3078" max="3078" width="1.7109375" style="296" customWidth="1"/>
    <col min="3079" max="3079" width="4.28515625" style="296" bestFit="1" customWidth="1"/>
    <col min="3080" max="3080" width="1.7109375" style="296" customWidth="1"/>
    <col min="3081" max="3081" width="13.7109375" style="296" customWidth="1"/>
    <col min="3082" max="3082" width="1.7109375" style="296" customWidth="1"/>
    <col min="3083" max="3083" width="13.7109375" style="296" customWidth="1"/>
    <col min="3084" max="3328" width="2.28515625" style="296"/>
    <col min="3329" max="3329" width="3.7109375" style="296" customWidth="1"/>
    <col min="3330" max="3330" width="1.7109375" style="296" customWidth="1"/>
    <col min="3331" max="3332" width="27.7109375" style="296" customWidth="1"/>
    <col min="3333" max="3333" width="2.140625" style="296" bestFit="1" customWidth="1"/>
    <col min="3334" max="3334" width="1.7109375" style="296" customWidth="1"/>
    <col min="3335" max="3335" width="4.28515625" style="296" bestFit="1" customWidth="1"/>
    <col min="3336" max="3336" width="1.7109375" style="296" customWidth="1"/>
    <col min="3337" max="3337" width="13.7109375" style="296" customWidth="1"/>
    <col min="3338" max="3338" width="1.7109375" style="296" customWidth="1"/>
    <col min="3339" max="3339" width="13.7109375" style="296" customWidth="1"/>
    <col min="3340" max="3584" width="2.28515625" style="296"/>
    <col min="3585" max="3585" width="3.7109375" style="296" customWidth="1"/>
    <col min="3586" max="3586" width="1.7109375" style="296" customWidth="1"/>
    <col min="3587" max="3588" width="27.7109375" style="296" customWidth="1"/>
    <col min="3589" max="3589" width="2.140625" style="296" bestFit="1" customWidth="1"/>
    <col min="3590" max="3590" width="1.7109375" style="296" customWidth="1"/>
    <col min="3591" max="3591" width="4.28515625" style="296" bestFit="1" customWidth="1"/>
    <col min="3592" max="3592" width="1.7109375" style="296" customWidth="1"/>
    <col min="3593" max="3593" width="13.7109375" style="296" customWidth="1"/>
    <col min="3594" max="3594" width="1.7109375" style="296" customWidth="1"/>
    <col min="3595" max="3595" width="13.7109375" style="296" customWidth="1"/>
    <col min="3596" max="3840" width="2.28515625" style="296"/>
    <col min="3841" max="3841" width="3.7109375" style="296" customWidth="1"/>
    <col min="3842" max="3842" width="1.7109375" style="296" customWidth="1"/>
    <col min="3843" max="3844" width="27.7109375" style="296" customWidth="1"/>
    <col min="3845" max="3845" width="2.140625" style="296" bestFit="1" customWidth="1"/>
    <col min="3846" max="3846" width="1.7109375" style="296" customWidth="1"/>
    <col min="3847" max="3847" width="4.28515625" style="296" bestFit="1" customWidth="1"/>
    <col min="3848" max="3848" width="1.7109375" style="296" customWidth="1"/>
    <col min="3849" max="3849" width="13.7109375" style="296" customWidth="1"/>
    <col min="3850" max="3850" width="1.7109375" style="296" customWidth="1"/>
    <col min="3851" max="3851" width="13.7109375" style="296" customWidth="1"/>
    <col min="3852" max="4096" width="2.28515625" style="296"/>
    <col min="4097" max="4097" width="3.7109375" style="296" customWidth="1"/>
    <col min="4098" max="4098" width="1.7109375" style="296" customWidth="1"/>
    <col min="4099" max="4100" width="27.7109375" style="296" customWidth="1"/>
    <col min="4101" max="4101" width="2.140625" style="296" bestFit="1" customWidth="1"/>
    <col min="4102" max="4102" width="1.7109375" style="296" customWidth="1"/>
    <col min="4103" max="4103" width="4.28515625" style="296" bestFit="1" customWidth="1"/>
    <col min="4104" max="4104" width="1.7109375" style="296" customWidth="1"/>
    <col min="4105" max="4105" width="13.7109375" style="296" customWidth="1"/>
    <col min="4106" max="4106" width="1.7109375" style="296" customWidth="1"/>
    <col min="4107" max="4107" width="13.7109375" style="296" customWidth="1"/>
    <col min="4108" max="4352" width="2.28515625" style="296"/>
    <col min="4353" max="4353" width="3.7109375" style="296" customWidth="1"/>
    <col min="4354" max="4354" width="1.7109375" style="296" customWidth="1"/>
    <col min="4355" max="4356" width="27.7109375" style="296" customWidth="1"/>
    <col min="4357" max="4357" width="2.140625" style="296" bestFit="1" customWidth="1"/>
    <col min="4358" max="4358" width="1.7109375" style="296" customWidth="1"/>
    <col min="4359" max="4359" width="4.28515625" style="296" bestFit="1" customWidth="1"/>
    <col min="4360" max="4360" width="1.7109375" style="296" customWidth="1"/>
    <col min="4361" max="4361" width="13.7109375" style="296" customWidth="1"/>
    <col min="4362" max="4362" width="1.7109375" style="296" customWidth="1"/>
    <col min="4363" max="4363" width="13.7109375" style="296" customWidth="1"/>
    <col min="4364" max="4608" width="2.28515625" style="296"/>
    <col min="4609" max="4609" width="3.7109375" style="296" customWidth="1"/>
    <col min="4610" max="4610" width="1.7109375" style="296" customWidth="1"/>
    <col min="4611" max="4612" width="27.7109375" style="296" customWidth="1"/>
    <col min="4613" max="4613" width="2.140625" style="296" bestFit="1" customWidth="1"/>
    <col min="4614" max="4614" width="1.7109375" style="296" customWidth="1"/>
    <col min="4615" max="4615" width="4.28515625" style="296" bestFit="1" customWidth="1"/>
    <col min="4616" max="4616" width="1.7109375" style="296" customWidth="1"/>
    <col min="4617" max="4617" width="13.7109375" style="296" customWidth="1"/>
    <col min="4618" max="4618" width="1.7109375" style="296" customWidth="1"/>
    <col min="4619" max="4619" width="13.7109375" style="296" customWidth="1"/>
    <col min="4620" max="4864" width="2.28515625" style="296"/>
    <col min="4865" max="4865" width="3.7109375" style="296" customWidth="1"/>
    <col min="4866" max="4866" width="1.7109375" style="296" customWidth="1"/>
    <col min="4867" max="4868" width="27.7109375" style="296" customWidth="1"/>
    <col min="4869" max="4869" width="2.140625" style="296" bestFit="1" customWidth="1"/>
    <col min="4870" max="4870" width="1.7109375" style="296" customWidth="1"/>
    <col min="4871" max="4871" width="4.28515625" style="296" bestFit="1" customWidth="1"/>
    <col min="4872" max="4872" width="1.7109375" style="296" customWidth="1"/>
    <col min="4873" max="4873" width="13.7109375" style="296" customWidth="1"/>
    <col min="4874" max="4874" width="1.7109375" style="296" customWidth="1"/>
    <col min="4875" max="4875" width="13.7109375" style="296" customWidth="1"/>
    <col min="4876" max="5120" width="2.28515625" style="296"/>
    <col min="5121" max="5121" width="3.7109375" style="296" customWidth="1"/>
    <col min="5122" max="5122" width="1.7109375" style="296" customWidth="1"/>
    <col min="5123" max="5124" width="27.7109375" style="296" customWidth="1"/>
    <col min="5125" max="5125" width="2.140625" style="296" bestFit="1" customWidth="1"/>
    <col min="5126" max="5126" width="1.7109375" style="296" customWidth="1"/>
    <col min="5127" max="5127" width="4.28515625" style="296" bestFit="1" customWidth="1"/>
    <col min="5128" max="5128" width="1.7109375" style="296" customWidth="1"/>
    <col min="5129" max="5129" width="13.7109375" style="296" customWidth="1"/>
    <col min="5130" max="5130" width="1.7109375" style="296" customWidth="1"/>
    <col min="5131" max="5131" width="13.7109375" style="296" customWidth="1"/>
    <col min="5132" max="5376" width="2.28515625" style="296"/>
    <col min="5377" max="5377" width="3.7109375" style="296" customWidth="1"/>
    <col min="5378" max="5378" width="1.7109375" style="296" customWidth="1"/>
    <col min="5379" max="5380" width="27.7109375" style="296" customWidth="1"/>
    <col min="5381" max="5381" width="2.140625" style="296" bestFit="1" customWidth="1"/>
    <col min="5382" max="5382" width="1.7109375" style="296" customWidth="1"/>
    <col min="5383" max="5383" width="4.28515625" style="296" bestFit="1" customWidth="1"/>
    <col min="5384" max="5384" width="1.7109375" style="296" customWidth="1"/>
    <col min="5385" max="5385" width="13.7109375" style="296" customWidth="1"/>
    <col min="5386" max="5386" width="1.7109375" style="296" customWidth="1"/>
    <col min="5387" max="5387" width="13.7109375" style="296" customWidth="1"/>
    <col min="5388" max="5632" width="2.28515625" style="296"/>
    <col min="5633" max="5633" width="3.7109375" style="296" customWidth="1"/>
    <col min="5634" max="5634" width="1.7109375" style="296" customWidth="1"/>
    <col min="5635" max="5636" width="27.7109375" style="296" customWidth="1"/>
    <col min="5637" max="5637" width="2.140625" style="296" bestFit="1" customWidth="1"/>
    <col min="5638" max="5638" width="1.7109375" style="296" customWidth="1"/>
    <col min="5639" max="5639" width="4.28515625" style="296" bestFit="1" customWidth="1"/>
    <col min="5640" max="5640" width="1.7109375" style="296" customWidth="1"/>
    <col min="5641" max="5641" width="13.7109375" style="296" customWidth="1"/>
    <col min="5642" max="5642" width="1.7109375" style="296" customWidth="1"/>
    <col min="5643" max="5643" width="13.7109375" style="296" customWidth="1"/>
    <col min="5644" max="5888" width="2.28515625" style="296"/>
    <col min="5889" max="5889" width="3.7109375" style="296" customWidth="1"/>
    <col min="5890" max="5890" width="1.7109375" style="296" customWidth="1"/>
    <col min="5891" max="5892" width="27.7109375" style="296" customWidth="1"/>
    <col min="5893" max="5893" width="2.140625" style="296" bestFit="1" customWidth="1"/>
    <col min="5894" max="5894" width="1.7109375" style="296" customWidth="1"/>
    <col min="5895" max="5895" width="4.28515625" style="296" bestFit="1" customWidth="1"/>
    <col min="5896" max="5896" width="1.7109375" style="296" customWidth="1"/>
    <col min="5897" max="5897" width="13.7109375" style="296" customWidth="1"/>
    <col min="5898" max="5898" width="1.7109375" style="296" customWidth="1"/>
    <col min="5899" max="5899" width="13.7109375" style="296" customWidth="1"/>
    <col min="5900" max="6144" width="2.28515625" style="296"/>
    <col min="6145" max="6145" width="3.7109375" style="296" customWidth="1"/>
    <col min="6146" max="6146" width="1.7109375" style="296" customWidth="1"/>
    <col min="6147" max="6148" width="27.7109375" style="296" customWidth="1"/>
    <col min="6149" max="6149" width="2.140625" style="296" bestFit="1" customWidth="1"/>
    <col min="6150" max="6150" width="1.7109375" style="296" customWidth="1"/>
    <col min="6151" max="6151" width="4.28515625" style="296" bestFit="1" customWidth="1"/>
    <col min="6152" max="6152" width="1.7109375" style="296" customWidth="1"/>
    <col min="6153" max="6153" width="13.7109375" style="296" customWidth="1"/>
    <col min="6154" max="6154" width="1.7109375" style="296" customWidth="1"/>
    <col min="6155" max="6155" width="13.7109375" style="296" customWidth="1"/>
    <col min="6156" max="6400" width="2.28515625" style="296"/>
    <col min="6401" max="6401" width="3.7109375" style="296" customWidth="1"/>
    <col min="6402" max="6402" width="1.7109375" style="296" customWidth="1"/>
    <col min="6403" max="6404" width="27.7109375" style="296" customWidth="1"/>
    <col min="6405" max="6405" width="2.140625" style="296" bestFit="1" customWidth="1"/>
    <col min="6406" max="6406" width="1.7109375" style="296" customWidth="1"/>
    <col min="6407" max="6407" width="4.28515625" style="296" bestFit="1" customWidth="1"/>
    <col min="6408" max="6408" width="1.7109375" style="296" customWidth="1"/>
    <col min="6409" max="6409" width="13.7109375" style="296" customWidth="1"/>
    <col min="6410" max="6410" width="1.7109375" style="296" customWidth="1"/>
    <col min="6411" max="6411" width="13.7109375" style="296" customWidth="1"/>
    <col min="6412" max="6656" width="2.28515625" style="296"/>
    <col min="6657" max="6657" width="3.7109375" style="296" customWidth="1"/>
    <col min="6658" max="6658" width="1.7109375" style="296" customWidth="1"/>
    <col min="6659" max="6660" width="27.7109375" style="296" customWidth="1"/>
    <col min="6661" max="6661" width="2.140625" style="296" bestFit="1" customWidth="1"/>
    <col min="6662" max="6662" width="1.7109375" style="296" customWidth="1"/>
    <col min="6663" max="6663" width="4.28515625" style="296" bestFit="1" customWidth="1"/>
    <col min="6664" max="6664" width="1.7109375" style="296" customWidth="1"/>
    <col min="6665" max="6665" width="13.7109375" style="296" customWidth="1"/>
    <col min="6666" max="6666" width="1.7109375" style="296" customWidth="1"/>
    <col min="6667" max="6667" width="13.7109375" style="296" customWidth="1"/>
    <col min="6668" max="6912" width="2.28515625" style="296"/>
    <col min="6913" max="6913" width="3.7109375" style="296" customWidth="1"/>
    <col min="6914" max="6914" width="1.7109375" style="296" customWidth="1"/>
    <col min="6915" max="6916" width="27.7109375" style="296" customWidth="1"/>
    <col min="6917" max="6917" width="2.140625" style="296" bestFit="1" customWidth="1"/>
    <col min="6918" max="6918" width="1.7109375" style="296" customWidth="1"/>
    <col min="6919" max="6919" width="4.28515625" style="296" bestFit="1" customWidth="1"/>
    <col min="6920" max="6920" width="1.7109375" style="296" customWidth="1"/>
    <col min="6921" max="6921" width="13.7109375" style="296" customWidth="1"/>
    <col min="6922" max="6922" width="1.7109375" style="296" customWidth="1"/>
    <col min="6923" max="6923" width="13.7109375" style="296" customWidth="1"/>
    <col min="6924" max="7168" width="2.28515625" style="296"/>
    <col min="7169" max="7169" width="3.7109375" style="296" customWidth="1"/>
    <col min="7170" max="7170" width="1.7109375" style="296" customWidth="1"/>
    <col min="7171" max="7172" width="27.7109375" style="296" customWidth="1"/>
    <col min="7173" max="7173" width="2.140625" style="296" bestFit="1" customWidth="1"/>
    <col min="7174" max="7174" width="1.7109375" style="296" customWidth="1"/>
    <col min="7175" max="7175" width="4.28515625" style="296" bestFit="1" customWidth="1"/>
    <col min="7176" max="7176" width="1.7109375" style="296" customWidth="1"/>
    <col min="7177" max="7177" width="13.7109375" style="296" customWidth="1"/>
    <col min="7178" max="7178" width="1.7109375" style="296" customWidth="1"/>
    <col min="7179" max="7179" width="13.7109375" style="296" customWidth="1"/>
    <col min="7180" max="7424" width="2.28515625" style="296"/>
    <col min="7425" max="7425" width="3.7109375" style="296" customWidth="1"/>
    <col min="7426" max="7426" width="1.7109375" style="296" customWidth="1"/>
    <col min="7427" max="7428" width="27.7109375" style="296" customWidth="1"/>
    <col min="7429" max="7429" width="2.140625" style="296" bestFit="1" customWidth="1"/>
    <col min="7430" max="7430" width="1.7109375" style="296" customWidth="1"/>
    <col min="7431" max="7431" width="4.28515625" style="296" bestFit="1" customWidth="1"/>
    <col min="7432" max="7432" width="1.7109375" style="296" customWidth="1"/>
    <col min="7433" max="7433" width="13.7109375" style="296" customWidth="1"/>
    <col min="7434" max="7434" width="1.7109375" style="296" customWidth="1"/>
    <col min="7435" max="7435" width="13.7109375" style="296" customWidth="1"/>
    <col min="7436" max="7680" width="2.28515625" style="296"/>
    <col min="7681" max="7681" width="3.7109375" style="296" customWidth="1"/>
    <col min="7682" max="7682" width="1.7109375" style="296" customWidth="1"/>
    <col min="7683" max="7684" width="27.7109375" style="296" customWidth="1"/>
    <col min="7685" max="7685" width="2.140625" style="296" bestFit="1" customWidth="1"/>
    <col min="7686" max="7686" width="1.7109375" style="296" customWidth="1"/>
    <col min="7687" max="7687" width="4.28515625" style="296" bestFit="1" customWidth="1"/>
    <col min="7688" max="7688" width="1.7109375" style="296" customWidth="1"/>
    <col min="7689" max="7689" width="13.7109375" style="296" customWidth="1"/>
    <col min="7690" max="7690" width="1.7109375" style="296" customWidth="1"/>
    <col min="7691" max="7691" width="13.7109375" style="296" customWidth="1"/>
    <col min="7692" max="7936" width="2.28515625" style="296"/>
    <col min="7937" max="7937" width="3.7109375" style="296" customWidth="1"/>
    <col min="7938" max="7938" width="1.7109375" style="296" customWidth="1"/>
    <col min="7939" max="7940" width="27.7109375" style="296" customWidth="1"/>
    <col min="7941" max="7941" width="2.140625" style="296" bestFit="1" customWidth="1"/>
    <col min="7942" max="7942" width="1.7109375" style="296" customWidth="1"/>
    <col min="7943" max="7943" width="4.28515625" style="296" bestFit="1" customWidth="1"/>
    <col min="7944" max="7944" width="1.7109375" style="296" customWidth="1"/>
    <col min="7945" max="7945" width="13.7109375" style="296" customWidth="1"/>
    <col min="7946" max="7946" width="1.7109375" style="296" customWidth="1"/>
    <col min="7947" max="7947" width="13.7109375" style="296" customWidth="1"/>
    <col min="7948" max="8192" width="2.28515625" style="296"/>
    <col min="8193" max="8193" width="3.7109375" style="296" customWidth="1"/>
    <col min="8194" max="8194" width="1.7109375" style="296" customWidth="1"/>
    <col min="8195" max="8196" width="27.7109375" style="296" customWidth="1"/>
    <col min="8197" max="8197" width="2.140625" style="296" bestFit="1" customWidth="1"/>
    <col min="8198" max="8198" width="1.7109375" style="296" customWidth="1"/>
    <col min="8199" max="8199" width="4.28515625" style="296" bestFit="1" customWidth="1"/>
    <col min="8200" max="8200" width="1.7109375" style="296" customWidth="1"/>
    <col min="8201" max="8201" width="13.7109375" style="296" customWidth="1"/>
    <col min="8202" max="8202" width="1.7109375" style="296" customWidth="1"/>
    <col min="8203" max="8203" width="13.7109375" style="296" customWidth="1"/>
    <col min="8204" max="8448" width="2.28515625" style="296"/>
    <col min="8449" max="8449" width="3.7109375" style="296" customWidth="1"/>
    <col min="8450" max="8450" width="1.7109375" style="296" customWidth="1"/>
    <col min="8451" max="8452" width="27.7109375" style="296" customWidth="1"/>
    <col min="8453" max="8453" width="2.140625" style="296" bestFit="1" customWidth="1"/>
    <col min="8454" max="8454" width="1.7109375" style="296" customWidth="1"/>
    <col min="8455" max="8455" width="4.28515625" style="296" bestFit="1" customWidth="1"/>
    <col min="8456" max="8456" width="1.7109375" style="296" customWidth="1"/>
    <col min="8457" max="8457" width="13.7109375" style="296" customWidth="1"/>
    <col min="8458" max="8458" width="1.7109375" style="296" customWidth="1"/>
    <col min="8459" max="8459" width="13.7109375" style="296" customWidth="1"/>
    <col min="8460" max="8704" width="2.28515625" style="296"/>
    <col min="8705" max="8705" width="3.7109375" style="296" customWidth="1"/>
    <col min="8706" max="8706" width="1.7109375" style="296" customWidth="1"/>
    <col min="8707" max="8708" width="27.7109375" style="296" customWidth="1"/>
    <col min="8709" max="8709" width="2.140625" style="296" bestFit="1" customWidth="1"/>
    <col min="8710" max="8710" width="1.7109375" style="296" customWidth="1"/>
    <col min="8711" max="8711" width="4.28515625" style="296" bestFit="1" customWidth="1"/>
    <col min="8712" max="8712" width="1.7109375" style="296" customWidth="1"/>
    <col min="8713" max="8713" width="13.7109375" style="296" customWidth="1"/>
    <col min="8714" max="8714" width="1.7109375" style="296" customWidth="1"/>
    <col min="8715" max="8715" width="13.7109375" style="296" customWidth="1"/>
    <col min="8716" max="8960" width="2.28515625" style="296"/>
    <col min="8961" max="8961" width="3.7109375" style="296" customWidth="1"/>
    <col min="8962" max="8962" width="1.7109375" style="296" customWidth="1"/>
    <col min="8963" max="8964" width="27.7109375" style="296" customWidth="1"/>
    <col min="8965" max="8965" width="2.140625" style="296" bestFit="1" customWidth="1"/>
    <col min="8966" max="8966" width="1.7109375" style="296" customWidth="1"/>
    <col min="8967" max="8967" width="4.28515625" style="296" bestFit="1" customWidth="1"/>
    <col min="8968" max="8968" width="1.7109375" style="296" customWidth="1"/>
    <col min="8969" max="8969" width="13.7109375" style="296" customWidth="1"/>
    <col min="8970" max="8970" width="1.7109375" style="296" customWidth="1"/>
    <col min="8971" max="8971" width="13.7109375" style="296" customWidth="1"/>
    <col min="8972" max="9216" width="2.28515625" style="296"/>
    <col min="9217" max="9217" width="3.7109375" style="296" customWidth="1"/>
    <col min="9218" max="9218" width="1.7109375" style="296" customWidth="1"/>
    <col min="9219" max="9220" width="27.7109375" style="296" customWidth="1"/>
    <col min="9221" max="9221" width="2.140625" style="296" bestFit="1" customWidth="1"/>
    <col min="9222" max="9222" width="1.7109375" style="296" customWidth="1"/>
    <col min="9223" max="9223" width="4.28515625" style="296" bestFit="1" customWidth="1"/>
    <col min="9224" max="9224" width="1.7109375" style="296" customWidth="1"/>
    <col min="9225" max="9225" width="13.7109375" style="296" customWidth="1"/>
    <col min="9226" max="9226" width="1.7109375" style="296" customWidth="1"/>
    <col min="9227" max="9227" width="13.7109375" style="296" customWidth="1"/>
    <col min="9228" max="9472" width="2.28515625" style="296"/>
    <col min="9473" max="9473" width="3.7109375" style="296" customWidth="1"/>
    <col min="9474" max="9474" width="1.7109375" style="296" customWidth="1"/>
    <col min="9475" max="9476" width="27.7109375" style="296" customWidth="1"/>
    <col min="9477" max="9477" width="2.140625" style="296" bestFit="1" customWidth="1"/>
    <col min="9478" max="9478" width="1.7109375" style="296" customWidth="1"/>
    <col min="9479" max="9479" width="4.28515625" style="296" bestFit="1" customWidth="1"/>
    <col min="9480" max="9480" width="1.7109375" style="296" customWidth="1"/>
    <col min="9481" max="9481" width="13.7109375" style="296" customWidth="1"/>
    <col min="9482" max="9482" width="1.7109375" style="296" customWidth="1"/>
    <col min="9483" max="9483" width="13.7109375" style="296" customWidth="1"/>
    <col min="9484" max="9728" width="2.28515625" style="296"/>
    <col min="9729" max="9729" width="3.7109375" style="296" customWidth="1"/>
    <col min="9730" max="9730" width="1.7109375" style="296" customWidth="1"/>
    <col min="9731" max="9732" width="27.7109375" style="296" customWidth="1"/>
    <col min="9733" max="9733" width="2.140625" style="296" bestFit="1" customWidth="1"/>
    <col min="9734" max="9734" width="1.7109375" style="296" customWidth="1"/>
    <col min="9735" max="9735" width="4.28515625" style="296" bestFit="1" customWidth="1"/>
    <col min="9736" max="9736" width="1.7109375" style="296" customWidth="1"/>
    <col min="9737" max="9737" width="13.7109375" style="296" customWidth="1"/>
    <col min="9738" max="9738" width="1.7109375" style="296" customWidth="1"/>
    <col min="9739" max="9739" width="13.7109375" style="296" customWidth="1"/>
    <col min="9740" max="9984" width="2.28515625" style="296"/>
    <col min="9985" max="9985" width="3.7109375" style="296" customWidth="1"/>
    <col min="9986" max="9986" width="1.7109375" style="296" customWidth="1"/>
    <col min="9987" max="9988" width="27.7109375" style="296" customWidth="1"/>
    <col min="9989" max="9989" width="2.140625" style="296" bestFit="1" customWidth="1"/>
    <col min="9990" max="9990" width="1.7109375" style="296" customWidth="1"/>
    <col min="9991" max="9991" width="4.28515625" style="296" bestFit="1" customWidth="1"/>
    <col min="9992" max="9992" width="1.7109375" style="296" customWidth="1"/>
    <col min="9993" max="9993" width="13.7109375" style="296" customWidth="1"/>
    <col min="9994" max="9994" width="1.7109375" style="296" customWidth="1"/>
    <col min="9995" max="9995" width="13.7109375" style="296" customWidth="1"/>
    <col min="9996" max="10240" width="2.28515625" style="296"/>
    <col min="10241" max="10241" width="3.7109375" style="296" customWidth="1"/>
    <col min="10242" max="10242" width="1.7109375" style="296" customWidth="1"/>
    <col min="10243" max="10244" width="27.7109375" style="296" customWidth="1"/>
    <col min="10245" max="10245" width="2.140625" style="296" bestFit="1" customWidth="1"/>
    <col min="10246" max="10246" width="1.7109375" style="296" customWidth="1"/>
    <col min="10247" max="10247" width="4.28515625" style="296" bestFit="1" customWidth="1"/>
    <col min="10248" max="10248" width="1.7109375" style="296" customWidth="1"/>
    <col min="10249" max="10249" width="13.7109375" style="296" customWidth="1"/>
    <col min="10250" max="10250" width="1.7109375" style="296" customWidth="1"/>
    <col min="10251" max="10251" width="13.7109375" style="296" customWidth="1"/>
    <col min="10252" max="10496" width="2.28515625" style="296"/>
    <col min="10497" max="10497" width="3.7109375" style="296" customWidth="1"/>
    <col min="10498" max="10498" width="1.7109375" style="296" customWidth="1"/>
    <col min="10499" max="10500" width="27.7109375" style="296" customWidth="1"/>
    <col min="10501" max="10501" width="2.140625" style="296" bestFit="1" customWidth="1"/>
    <col min="10502" max="10502" width="1.7109375" style="296" customWidth="1"/>
    <col min="10503" max="10503" width="4.28515625" style="296" bestFit="1" customWidth="1"/>
    <col min="10504" max="10504" width="1.7109375" style="296" customWidth="1"/>
    <col min="10505" max="10505" width="13.7109375" style="296" customWidth="1"/>
    <col min="10506" max="10506" width="1.7109375" style="296" customWidth="1"/>
    <col min="10507" max="10507" width="13.7109375" style="296" customWidth="1"/>
    <col min="10508" max="10752" width="2.28515625" style="296"/>
    <col min="10753" max="10753" width="3.7109375" style="296" customWidth="1"/>
    <col min="10754" max="10754" width="1.7109375" style="296" customWidth="1"/>
    <col min="10755" max="10756" width="27.7109375" style="296" customWidth="1"/>
    <col min="10757" max="10757" width="2.140625" style="296" bestFit="1" customWidth="1"/>
    <col min="10758" max="10758" width="1.7109375" style="296" customWidth="1"/>
    <col min="10759" max="10759" width="4.28515625" style="296" bestFit="1" customWidth="1"/>
    <col min="10760" max="10760" width="1.7109375" style="296" customWidth="1"/>
    <col min="10761" max="10761" width="13.7109375" style="296" customWidth="1"/>
    <col min="10762" max="10762" width="1.7109375" style="296" customWidth="1"/>
    <col min="10763" max="10763" width="13.7109375" style="296" customWidth="1"/>
    <col min="10764" max="11008" width="2.28515625" style="296"/>
    <col min="11009" max="11009" width="3.7109375" style="296" customWidth="1"/>
    <col min="11010" max="11010" width="1.7109375" style="296" customWidth="1"/>
    <col min="11011" max="11012" width="27.7109375" style="296" customWidth="1"/>
    <col min="11013" max="11013" width="2.140625" style="296" bestFit="1" customWidth="1"/>
    <col min="11014" max="11014" width="1.7109375" style="296" customWidth="1"/>
    <col min="11015" max="11015" width="4.28515625" style="296" bestFit="1" customWidth="1"/>
    <col min="11016" max="11016" width="1.7109375" style="296" customWidth="1"/>
    <col min="11017" max="11017" width="13.7109375" style="296" customWidth="1"/>
    <col min="11018" max="11018" width="1.7109375" style="296" customWidth="1"/>
    <col min="11019" max="11019" width="13.7109375" style="296" customWidth="1"/>
    <col min="11020" max="11264" width="2.28515625" style="296"/>
    <col min="11265" max="11265" width="3.7109375" style="296" customWidth="1"/>
    <col min="11266" max="11266" width="1.7109375" style="296" customWidth="1"/>
    <col min="11267" max="11268" width="27.7109375" style="296" customWidth="1"/>
    <col min="11269" max="11269" width="2.140625" style="296" bestFit="1" customWidth="1"/>
    <col min="11270" max="11270" width="1.7109375" style="296" customWidth="1"/>
    <col min="11271" max="11271" width="4.28515625" style="296" bestFit="1" customWidth="1"/>
    <col min="11272" max="11272" width="1.7109375" style="296" customWidth="1"/>
    <col min="11273" max="11273" width="13.7109375" style="296" customWidth="1"/>
    <col min="11274" max="11274" width="1.7109375" style="296" customWidth="1"/>
    <col min="11275" max="11275" width="13.7109375" style="296" customWidth="1"/>
    <col min="11276" max="11520" width="2.28515625" style="296"/>
    <col min="11521" max="11521" width="3.7109375" style="296" customWidth="1"/>
    <col min="11522" max="11522" width="1.7109375" style="296" customWidth="1"/>
    <col min="11523" max="11524" width="27.7109375" style="296" customWidth="1"/>
    <col min="11525" max="11525" width="2.140625" style="296" bestFit="1" customWidth="1"/>
    <col min="11526" max="11526" width="1.7109375" style="296" customWidth="1"/>
    <col min="11527" max="11527" width="4.28515625" style="296" bestFit="1" customWidth="1"/>
    <col min="11528" max="11528" width="1.7109375" style="296" customWidth="1"/>
    <col min="11529" max="11529" width="13.7109375" style="296" customWidth="1"/>
    <col min="11530" max="11530" width="1.7109375" style="296" customWidth="1"/>
    <col min="11531" max="11531" width="13.7109375" style="296" customWidth="1"/>
    <col min="11532" max="11776" width="2.28515625" style="296"/>
    <col min="11777" max="11777" width="3.7109375" style="296" customWidth="1"/>
    <col min="11778" max="11778" width="1.7109375" style="296" customWidth="1"/>
    <col min="11779" max="11780" width="27.7109375" style="296" customWidth="1"/>
    <col min="11781" max="11781" width="2.140625" style="296" bestFit="1" customWidth="1"/>
    <col min="11782" max="11782" width="1.7109375" style="296" customWidth="1"/>
    <col min="11783" max="11783" width="4.28515625" style="296" bestFit="1" customWidth="1"/>
    <col min="11784" max="11784" width="1.7109375" style="296" customWidth="1"/>
    <col min="11785" max="11785" width="13.7109375" style="296" customWidth="1"/>
    <col min="11786" max="11786" width="1.7109375" style="296" customWidth="1"/>
    <col min="11787" max="11787" width="13.7109375" style="296" customWidth="1"/>
    <col min="11788" max="12032" width="2.28515625" style="296"/>
    <col min="12033" max="12033" width="3.7109375" style="296" customWidth="1"/>
    <col min="12034" max="12034" width="1.7109375" style="296" customWidth="1"/>
    <col min="12035" max="12036" width="27.7109375" style="296" customWidth="1"/>
    <col min="12037" max="12037" width="2.140625" style="296" bestFit="1" customWidth="1"/>
    <col min="12038" max="12038" width="1.7109375" style="296" customWidth="1"/>
    <col min="12039" max="12039" width="4.28515625" style="296" bestFit="1" customWidth="1"/>
    <col min="12040" max="12040" width="1.7109375" style="296" customWidth="1"/>
    <col min="12041" max="12041" width="13.7109375" style="296" customWidth="1"/>
    <col min="12042" max="12042" width="1.7109375" style="296" customWidth="1"/>
    <col min="12043" max="12043" width="13.7109375" style="296" customWidth="1"/>
    <col min="12044" max="12288" width="2.28515625" style="296"/>
    <col min="12289" max="12289" width="3.7109375" style="296" customWidth="1"/>
    <col min="12290" max="12290" width="1.7109375" style="296" customWidth="1"/>
    <col min="12291" max="12292" width="27.7109375" style="296" customWidth="1"/>
    <col min="12293" max="12293" width="2.140625" style="296" bestFit="1" customWidth="1"/>
    <col min="12294" max="12294" width="1.7109375" style="296" customWidth="1"/>
    <col min="12295" max="12295" width="4.28515625" style="296" bestFit="1" customWidth="1"/>
    <col min="12296" max="12296" width="1.7109375" style="296" customWidth="1"/>
    <col min="12297" max="12297" width="13.7109375" style="296" customWidth="1"/>
    <col min="12298" max="12298" width="1.7109375" style="296" customWidth="1"/>
    <col min="12299" max="12299" width="13.7109375" style="296" customWidth="1"/>
    <col min="12300" max="12544" width="2.28515625" style="296"/>
    <col min="12545" max="12545" width="3.7109375" style="296" customWidth="1"/>
    <col min="12546" max="12546" width="1.7109375" style="296" customWidth="1"/>
    <col min="12547" max="12548" width="27.7109375" style="296" customWidth="1"/>
    <col min="12549" max="12549" width="2.140625" style="296" bestFit="1" customWidth="1"/>
    <col min="12550" max="12550" width="1.7109375" style="296" customWidth="1"/>
    <col min="12551" max="12551" width="4.28515625" style="296" bestFit="1" customWidth="1"/>
    <col min="12552" max="12552" width="1.7109375" style="296" customWidth="1"/>
    <col min="12553" max="12553" width="13.7109375" style="296" customWidth="1"/>
    <col min="12554" max="12554" width="1.7109375" style="296" customWidth="1"/>
    <col min="12555" max="12555" width="13.7109375" style="296" customWidth="1"/>
    <col min="12556" max="12800" width="2.28515625" style="296"/>
    <col min="12801" max="12801" width="3.7109375" style="296" customWidth="1"/>
    <col min="12802" max="12802" width="1.7109375" style="296" customWidth="1"/>
    <col min="12803" max="12804" width="27.7109375" style="296" customWidth="1"/>
    <col min="12805" max="12805" width="2.140625" style="296" bestFit="1" customWidth="1"/>
    <col min="12806" max="12806" width="1.7109375" style="296" customWidth="1"/>
    <col min="12807" max="12807" width="4.28515625" style="296" bestFit="1" customWidth="1"/>
    <col min="12808" max="12808" width="1.7109375" style="296" customWidth="1"/>
    <col min="12809" max="12809" width="13.7109375" style="296" customWidth="1"/>
    <col min="12810" max="12810" width="1.7109375" style="296" customWidth="1"/>
    <col min="12811" max="12811" width="13.7109375" style="296" customWidth="1"/>
    <col min="12812" max="13056" width="2.28515625" style="296"/>
    <col min="13057" max="13057" width="3.7109375" style="296" customWidth="1"/>
    <col min="13058" max="13058" width="1.7109375" style="296" customWidth="1"/>
    <col min="13059" max="13060" width="27.7109375" style="296" customWidth="1"/>
    <col min="13061" max="13061" width="2.140625" style="296" bestFit="1" customWidth="1"/>
    <col min="13062" max="13062" width="1.7109375" style="296" customWidth="1"/>
    <col min="13063" max="13063" width="4.28515625" style="296" bestFit="1" customWidth="1"/>
    <col min="13064" max="13064" width="1.7109375" style="296" customWidth="1"/>
    <col min="13065" max="13065" width="13.7109375" style="296" customWidth="1"/>
    <col min="13066" max="13066" width="1.7109375" style="296" customWidth="1"/>
    <col min="13067" max="13067" width="13.7109375" style="296" customWidth="1"/>
    <col min="13068" max="13312" width="2.28515625" style="296"/>
    <col min="13313" max="13313" width="3.7109375" style="296" customWidth="1"/>
    <col min="13314" max="13314" width="1.7109375" style="296" customWidth="1"/>
    <col min="13315" max="13316" width="27.7109375" style="296" customWidth="1"/>
    <col min="13317" max="13317" width="2.140625" style="296" bestFit="1" customWidth="1"/>
    <col min="13318" max="13318" width="1.7109375" style="296" customWidth="1"/>
    <col min="13319" max="13319" width="4.28515625" style="296" bestFit="1" customWidth="1"/>
    <col min="13320" max="13320" width="1.7109375" style="296" customWidth="1"/>
    <col min="13321" max="13321" width="13.7109375" style="296" customWidth="1"/>
    <col min="13322" max="13322" width="1.7109375" style="296" customWidth="1"/>
    <col min="13323" max="13323" width="13.7109375" style="296" customWidth="1"/>
    <col min="13324" max="13568" width="2.28515625" style="296"/>
    <col min="13569" max="13569" width="3.7109375" style="296" customWidth="1"/>
    <col min="13570" max="13570" width="1.7109375" style="296" customWidth="1"/>
    <col min="13571" max="13572" width="27.7109375" style="296" customWidth="1"/>
    <col min="13573" max="13573" width="2.140625" style="296" bestFit="1" customWidth="1"/>
    <col min="13574" max="13574" width="1.7109375" style="296" customWidth="1"/>
    <col min="13575" max="13575" width="4.28515625" style="296" bestFit="1" customWidth="1"/>
    <col min="13576" max="13576" width="1.7109375" style="296" customWidth="1"/>
    <col min="13577" max="13577" width="13.7109375" style="296" customWidth="1"/>
    <col min="13578" max="13578" width="1.7109375" style="296" customWidth="1"/>
    <col min="13579" max="13579" width="13.7109375" style="296" customWidth="1"/>
    <col min="13580" max="13824" width="2.28515625" style="296"/>
    <col min="13825" max="13825" width="3.7109375" style="296" customWidth="1"/>
    <col min="13826" max="13826" width="1.7109375" style="296" customWidth="1"/>
    <col min="13827" max="13828" width="27.7109375" style="296" customWidth="1"/>
    <col min="13829" max="13829" width="2.140625" style="296" bestFit="1" customWidth="1"/>
    <col min="13830" max="13830" width="1.7109375" style="296" customWidth="1"/>
    <col min="13831" max="13831" width="4.28515625" style="296" bestFit="1" customWidth="1"/>
    <col min="13832" max="13832" width="1.7109375" style="296" customWidth="1"/>
    <col min="13833" max="13833" width="13.7109375" style="296" customWidth="1"/>
    <col min="13834" max="13834" width="1.7109375" style="296" customWidth="1"/>
    <col min="13835" max="13835" width="13.7109375" style="296" customWidth="1"/>
    <col min="13836" max="14080" width="2.28515625" style="296"/>
    <col min="14081" max="14081" width="3.7109375" style="296" customWidth="1"/>
    <col min="14082" max="14082" width="1.7109375" style="296" customWidth="1"/>
    <col min="14083" max="14084" width="27.7109375" style="296" customWidth="1"/>
    <col min="14085" max="14085" width="2.140625" style="296" bestFit="1" customWidth="1"/>
    <col min="14086" max="14086" width="1.7109375" style="296" customWidth="1"/>
    <col min="14087" max="14087" width="4.28515625" style="296" bestFit="1" customWidth="1"/>
    <col min="14088" max="14088" width="1.7109375" style="296" customWidth="1"/>
    <col min="14089" max="14089" width="13.7109375" style="296" customWidth="1"/>
    <col min="14090" max="14090" width="1.7109375" style="296" customWidth="1"/>
    <col min="14091" max="14091" width="13.7109375" style="296" customWidth="1"/>
    <col min="14092" max="14336" width="2.28515625" style="296"/>
    <col min="14337" max="14337" width="3.7109375" style="296" customWidth="1"/>
    <col min="14338" max="14338" width="1.7109375" style="296" customWidth="1"/>
    <col min="14339" max="14340" width="27.7109375" style="296" customWidth="1"/>
    <col min="14341" max="14341" width="2.140625" style="296" bestFit="1" customWidth="1"/>
    <col min="14342" max="14342" width="1.7109375" style="296" customWidth="1"/>
    <col min="14343" max="14343" width="4.28515625" style="296" bestFit="1" customWidth="1"/>
    <col min="14344" max="14344" width="1.7109375" style="296" customWidth="1"/>
    <col min="14345" max="14345" width="13.7109375" style="296" customWidth="1"/>
    <col min="14346" max="14346" width="1.7109375" style="296" customWidth="1"/>
    <col min="14347" max="14347" width="13.7109375" style="296" customWidth="1"/>
    <col min="14348" max="14592" width="2.28515625" style="296"/>
    <col min="14593" max="14593" width="3.7109375" style="296" customWidth="1"/>
    <col min="14594" max="14594" width="1.7109375" style="296" customWidth="1"/>
    <col min="14595" max="14596" width="27.7109375" style="296" customWidth="1"/>
    <col min="14597" max="14597" width="2.140625" style="296" bestFit="1" customWidth="1"/>
    <col min="14598" max="14598" width="1.7109375" style="296" customWidth="1"/>
    <col min="14599" max="14599" width="4.28515625" style="296" bestFit="1" customWidth="1"/>
    <col min="14600" max="14600" width="1.7109375" style="296" customWidth="1"/>
    <col min="14601" max="14601" width="13.7109375" style="296" customWidth="1"/>
    <col min="14602" max="14602" width="1.7109375" style="296" customWidth="1"/>
    <col min="14603" max="14603" width="13.7109375" style="296" customWidth="1"/>
    <col min="14604" max="14848" width="2.28515625" style="296"/>
    <col min="14849" max="14849" width="3.7109375" style="296" customWidth="1"/>
    <col min="14850" max="14850" width="1.7109375" style="296" customWidth="1"/>
    <col min="14851" max="14852" width="27.7109375" style="296" customWidth="1"/>
    <col min="14853" max="14853" width="2.140625" style="296" bestFit="1" customWidth="1"/>
    <col min="14854" max="14854" width="1.7109375" style="296" customWidth="1"/>
    <col min="14855" max="14855" width="4.28515625" style="296" bestFit="1" customWidth="1"/>
    <col min="14856" max="14856" width="1.7109375" style="296" customWidth="1"/>
    <col min="14857" max="14857" width="13.7109375" style="296" customWidth="1"/>
    <col min="14858" max="14858" width="1.7109375" style="296" customWidth="1"/>
    <col min="14859" max="14859" width="13.7109375" style="296" customWidth="1"/>
    <col min="14860" max="15104" width="2.28515625" style="296"/>
    <col min="15105" max="15105" width="3.7109375" style="296" customWidth="1"/>
    <col min="15106" max="15106" width="1.7109375" style="296" customWidth="1"/>
    <col min="15107" max="15108" width="27.7109375" style="296" customWidth="1"/>
    <col min="15109" max="15109" width="2.140625" style="296" bestFit="1" customWidth="1"/>
    <col min="15110" max="15110" width="1.7109375" style="296" customWidth="1"/>
    <col min="15111" max="15111" width="4.28515625" style="296" bestFit="1" customWidth="1"/>
    <col min="15112" max="15112" width="1.7109375" style="296" customWidth="1"/>
    <col min="15113" max="15113" width="13.7109375" style="296" customWidth="1"/>
    <col min="15114" max="15114" width="1.7109375" style="296" customWidth="1"/>
    <col min="15115" max="15115" width="13.7109375" style="296" customWidth="1"/>
    <col min="15116" max="15360" width="2.28515625" style="296"/>
    <col min="15361" max="15361" width="3.7109375" style="296" customWidth="1"/>
    <col min="15362" max="15362" width="1.7109375" style="296" customWidth="1"/>
    <col min="15363" max="15364" width="27.7109375" style="296" customWidth="1"/>
    <col min="15365" max="15365" width="2.140625" style="296" bestFit="1" customWidth="1"/>
    <col min="15366" max="15366" width="1.7109375" style="296" customWidth="1"/>
    <col min="15367" max="15367" width="4.28515625" style="296" bestFit="1" customWidth="1"/>
    <col min="15368" max="15368" width="1.7109375" style="296" customWidth="1"/>
    <col min="15369" max="15369" width="13.7109375" style="296" customWidth="1"/>
    <col min="15370" max="15370" width="1.7109375" style="296" customWidth="1"/>
    <col min="15371" max="15371" width="13.7109375" style="296" customWidth="1"/>
    <col min="15372" max="15616" width="2.28515625" style="296"/>
    <col min="15617" max="15617" width="3.7109375" style="296" customWidth="1"/>
    <col min="15618" max="15618" width="1.7109375" style="296" customWidth="1"/>
    <col min="15619" max="15620" width="27.7109375" style="296" customWidth="1"/>
    <col min="15621" max="15621" width="2.140625" style="296" bestFit="1" customWidth="1"/>
    <col min="15622" max="15622" width="1.7109375" style="296" customWidth="1"/>
    <col min="15623" max="15623" width="4.28515625" style="296" bestFit="1" customWidth="1"/>
    <col min="15624" max="15624" width="1.7109375" style="296" customWidth="1"/>
    <col min="15625" max="15625" width="13.7109375" style="296" customWidth="1"/>
    <col min="15626" max="15626" width="1.7109375" style="296" customWidth="1"/>
    <col min="15627" max="15627" width="13.7109375" style="296" customWidth="1"/>
    <col min="15628" max="15872" width="2.28515625" style="296"/>
    <col min="15873" max="15873" width="3.7109375" style="296" customWidth="1"/>
    <col min="15874" max="15874" width="1.7109375" style="296" customWidth="1"/>
    <col min="15875" max="15876" width="27.7109375" style="296" customWidth="1"/>
    <col min="15877" max="15877" width="2.140625" style="296" bestFit="1" customWidth="1"/>
    <col min="15878" max="15878" width="1.7109375" style="296" customWidth="1"/>
    <col min="15879" max="15879" width="4.28515625" style="296" bestFit="1" customWidth="1"/>
    <col min="15880" max="15880" width="1.7109375" style="296" customWidth="1"/>
    <col min="15881" max="15881" width="13.7109375" style="296" customWidth="1"/>
    <col min="15882" max="15882" width="1.7109375" style="296" customWidth="1"/>
    <col min="15883" max="15883" width="13.7109375" style="296" customWidth="1"/>
    <col min="15884" max="16128" width="2.28515625" style="296"/>
    <col min="16129" max="16129" width="3.7109375" style="296" customWidth="1"/>
    <col min="16130" max="16130" width="1.7109375" style="296" customWidth="1"/>
    <col min="16131" max="16132" width="27.7109375" style="296" customWidth="1"/>
    <col min="16133" max="16133" width="2.140625" style="296" bestFit="1" customWidth="1"/>
    <col min="16134" max="16134" width="1.7109375" style="296" customWidth="1"/>
    <col min="16135" max="16135" width="4.28515625" style="296" bestFit="1" customWidth="1"/>
    <col min="16136" max="16136" width="1.7109375" style="296" customWidth="1"/>
    <col min="16137" max="16137" width="13.7109375" style="296" customWidth="1"/>
    <col min="16138" max="16138" width="1.7109375" style="296" customWidth="1"/>
    <col min="16139" max="16139" width="13.7109375" style="296" customWidth="1"/>
    <col min="16140" max="16384" width="2.28515625" style="296"/>
  </cols>
  <sheetData>
    <row r="2" spans="1:11" s="406" customFormat="1" ht="12" customHeight="1" x14ac:dyDescent="0.25">
      <c r="C2" s="407" t="s">
        <v>641</v>
      </c>
      <c r="D2" s="423" t="str">
        <f>+Bilan!D2</f>
        <v>ELESYST SA</v>
      </c>
      <c r="I2" s="407" t="s">
        <v>642</v>
      </c>
      <c r="J2" s="454" t="str">
        <f>+Bilan!Q2</f>
        <v>2019</v>
      </c>
      <c r="K2" s="464"/>
    </row>
    <row r="3" spans="1:11" s="406" customFormat="1" ht="12" customHeight="1" x14ac:dyDescent="0.25">
      <c r="C3" s="407" t="s">
        <v>643</v>
      </c>
      <c r="D3" s="405" t="str">
        <f>+Bilan!D3</f>
        <v>MO1779U7P00197</v>
      </c>
      <c r="I3" s="407" t="s">
        <v>644</v>
      </c>
      <c r="J3" s="464">
        <f>+Bilan!Q3</f>
        <v>12</v>
      </c>
      <c r="K3" s="464"/>
    </row>
    <row r="4" spans="1:11" s="406" customFormat="1" ht="12" customHeight="1" x14ac:dyDescent="0.15"/>
    <row r="5" spans="1:11" ht="25.5" x14ac:dyDescent="0.15">
      <c r="A5" s="457" t="s">
        <v>519</v>
      </c>
      <c r="B5" s="457"/>
      <c r="C5" s="457"/>
      <c r="D5" s="457"/>
      <c r="E5" s="457"/>
      <c r="F5" s="457"/>
      <c r="G5" s="457"/>
      <c r="H5" s="457"/>
      <c r="I5" s="457"/>
      <c r="J5" s="457"/>
      <c r="K5" s="457"/>
    </row>
    <row r="6" spans="1:11" ht="12" customHeight="1" x14ac:dyDescent="0.15"/>
    <row r="7" spans="1:11" s="337" customFormat="1" ht="12" customHeight="1" thickBot="1" x14ac:dyDescent="0.2">
      <c r="A7" s="334" t="s">
        <v>520</v>
      </c>
      <c r="B7" s="334"/>
      <c r="C7" s="468" t="s">
        <v>572</v>
      </c>
      <c r="D7" s="468"/>
      <c r="E7" s="468"/>
      <c r="F7" s="334"/>
      <c r="G7" s="334" t="s">
        <v>646</v>
      </c>
      <c r="H7" s="334"/>
      <c r="I7" s="334" t="s">
        <v>526</v>
      </c>
      <c r="J7" s="334"/>
      <c r="K7" s="336" t="s">
        <v>793</v>
      </c>
    </row>
    <row r="8" spans="1:11" ht="12" customHeight="1" x14ac:dyDescent="0.15">
      <c r="A8" s="298" t="s">
        <v>521</v>
      </c>
      <c r="B8" s="298"/>
      <c r="C8" s="298" t="s">
        <v>950</v>
      </c>
      <c r="D8" s="298"/>
      <c r="E8" s="298" t="s">
        <v>525</v>
      </c>
      <c r="F8" s="298"/>
      <c r="G8" s="298"/>
      <c r="H8" s="298"/>
      <c r="I8" s="315">
        <f>Bilan!M36-Bilan!V37</f>
        <v>3150000</v>
      </c>
      <c r="J8" s="298"/>
      <c r="K8" s="316">
        <f>+K47</f>
        <v>0</v>
      </c>
    </row>
    <row r="9" spans="1:11" ht="6" customHeight="1" x14ac:dyDescent="0.15">
      <c r="A9" s="298"/>
      <c r="B9" s="298"/>
      <c r="C9" s="298"/>
      <c r="D9" s="298"/>
      <c r="E9" s="298"/>
      <c r="F9" s="298"/>
      <c r="G9" s="298"/>
      <c r="H9" s="298"/>
      <c r="I9" s="298"/>
      <c r="J9" s="298"/>
      <c r="K9" s="316"/>
    </row>
    <row r="10" spans="1:11" ht="12" customHeight="1" x14ac:dyDescent="0.15">
      <c r="A10" s="298"/>
      <c r="B10" s="298"/>
      <c r="C10" s="298" t="s">
        <v>522</v>
      </c>
      <c r="D10" s="298"/>
      <c r="E10" s="298"/>
      <c r="F10" s="298"/>
      <c r="G10" s="298"/>
      <c r="H10" s="298"/>
      <c r="I10" s="298"/>
      <c r="J10" s="298"/>
      <c r="K10" s="316"/>
    </row>
    <row r="11" spans="1:11" ht="12" customHeight="1" x14ac:dyDescent="0.15">
      <c r="A11" s="296" t="s">
        <v>523</v>
      </c>
      <c r="C11" s="296" t="s">
        <v>524</v>
      </c>
      <c r="I11" s="313">
        <f>'INDICATEURS FIN'!D35</f>
        <v>8500000</v>
      </c>
      <c r="J11" s="313"/>
      <c r="K11" s="314">
        <f>'INDICATEURS FIN'!F35</f>
        <v>7500000</v>
      </c>
    </row>
    <row r="12" spans="1:11" ht="12" customHeight="1" x14ac:dyDescent="0.15">
      <c r="A12" s="296" t="s">
        <v>527</v>
      </c>
      <c r="C12" s="338" t="s">
        <v>794</v>
      </c>
      <c r="D12" s="338"/>
      <c r="I12" s="313">
        <f>Bilan!K27</f>
        <v>0</v>
      </c>
      <c r="J12" s="313"/>
      <c r="K12" s="314">
        <f>Bilan!M27</f>
        <v>0</v>
      </c>
    </row>
    <row r="13" spans="1:11" ht="12" customHeight="1" x14ac:dyDescent="0.15">
      <c r="A13" s="296" t="s">
        <v>530</v>
      </c>
      <c r="C13" s="338" t="s">
        <v>952</v>
      </c>
      <c r="D13" s="338"/>
      <c r="I13" s="313">
        <f>Bilan!K28-Bilan!M28</f>
        <v>0</v>
      </c>
      <c r="J13" s="313"/>
      <c r="K13" s="314">
        <f>+Bilan!M28-Bilan!K44</f>
        <v>0</v>
      </c>
    </row>
    <row r="14" spans="1:11" ht="12" customHeight="1" x14ac:dyDescent="0.15">
      <c r="A14" s="296" t="s">
        <v>529</v>
      </c>
      <c r="C14" s="338" t="s">
        <v>951</v>
      </c>
      <c r="D14" s="338"/>
      <c r="I14" s="313">
        <f>(Bilan!K31-Bilan!M31)+(Bilan!K32-Bilan!M32)+(Bilan!K30-Bilan!M30)</f>
        <v>1250000</v>
      </c>
      <c r="J14" s="313"/>
      <c r="K14" s="314">
        <f>+(Bilan!M30-Bilan!K45)+(Bilan!M31-Bilan!K46)+(Bilan!M32-Bilan!K47)</f>
        <v>4000000</v>
      </c>
    </row>
    <row r="15" spans="1:11" ht="12" customHeight="1" x14ac:dyDescent="0.15">
      <c r="A15" s="296" t="s">
        <v>528</v>
      </c>
      <c r="C15" s="338" t="s">
        <v>953</v>
      </c>
      <c r="D15" s="338"/>
      <c r="I15" s="313">
        <f>Bilan!T34-Bilan!V34</f>
        <v>1400000</v>
      </c>
      <c r="J15" s="313"/>
      <c r="K15" s="314">
        <f>+Bilan!V34-Bilan!K48</f>
        <v>4800000</v>
      </c>
    </row>
    <row r="16" spans="1:11" ht="12" customHeight="1" x14ac:dyDescent="0.15">
      <c r="A16" s="298"/>
      <c r="B16" s="298"/>
      <c r="C16" s="318" t="s">
        <v>531</v>
      </c>
      <c r="D16" s="318"/>
      <c r="E16" s="318"/>
      <c r="F16" s="318"/>
      <c r="G16" s="318"/>
      <c r="H16" s="318"/>
      <c r="I16" s="320">
        <f>SUM(I12:I15)</f>
        <v>2650000</v>
      </c>
      <c r="J16" s="318"/>
      <c r="K16" s="271">
        <f>SUM(K12:K15)</f>
        <v>8800000</v>
      </c>
    </row>
    <row r="17" spans="1:11" ht="12" customHeight="1" x14ac:dyDescent="0.15">
      <c r="A17" s="318" t="s">
        <v>795</v>
      </c>
      <c r="B17" s="318"/>
      <c r="C17" s="318" t="s">
        <v>532</v>
      </c>
      <c r="D17" s="318"/>
      <c r="E17" s="318" t="s">
        <v>533</v>
      </c>
      <c r="F17" s="318"/>
      <c r="G17" s="318"/>
      <c r="H17" s="318"/>
      <c r="I17" s="320">
        <f>I11-(I12+I13+I14)+I15</f>
        <v>8650000</v>
      </c>
      <c r="J17" s="318"/>
      <c r="K17" s="271">
        <f>K11-(K12+K13+K14)+K15</f>
        <v>8300000</v>
      </c>
    </row>
    <row r="18" spans="1:11" ht="6" customHeight="1" x14ac:dyDescent="0.15">
      <c r="A18" s="298"/>
      <c r="B18" s="298"/>
      <c r="C18" s="298"/>
      <c r="D18" s="298"/>
      <c r="E18" s="298"/>
      <c r="F18" s="298"/>
      <c r="G18" s="298"/>
      <c r="H18" s="298"/>
      <c r="I18" s="298"/>
      <c r="J18" s="298"/>
      <c r="K18" s="316"/>
    </row>
    <row r="19" spans="1:11" ht="12" customHeight="1" x14ac:dyDescent="0.15">
      <c r="A19" s="298"/>
      <c r="B19" s="298"/>
      <c r="C19" s="298" t="s">
        <v>535</v>
      </c>
      <c r="D19" s="298"/>
      <c r="E19" s="298"/>
      <c r="F19" s="298"/>
      <c r="G19" s="298"/>
      <c r="H19" s="298"/>
      <c r="I19" s="298"/>
      <c r="J19" s="298"/>
      <c r="K19" s="316"/>
    </row>
    <row r="20" spans="1:11" ht="12" customHeight="1" x14ac:dyDescent="0.15">
      <c r="A20" s="296" t="s">
        <v>536</v>
      </c>
      <c r="C20" s="338" t="s">
        <v>570</v>
      </c>
      <c r="D20" s="338"/>
      <c r="I20" s="313">
        <f>'Cash balance'!D10</f>
        <v>0</v>
      </c>
      <c r="K20" s="314">
        <f>'Cash balance'!F10</f>
        <v>0</v>
      </c>
    </row>
    <row r="21" spans="1:11" ht="12" customHeight="1" x14ac:dyDescent="0.15">
      <c r="A21" s="296" t="s">
        <v>537</v>
      </c>
      <c r="C21" s="338" t="s">
        <v>796</v>
      </c>
      <c r="D21" s="338"/>
      <c r="I21" s="313">
        <f>'Cash balance'!D15</f>
        <v>0</v>
      </c>
      <c r="K21" s="314">
        <f>'Cash balance'!F15</f>
        <v>0</v>
      </c>
    </row>
    <row r="22" spans="1:11" ht="12" customHeight="1" x14ac:dyDescent="0.15">
      <c r="A22" s="296" t="s">
        <v>538</v>
      </c>
      <c r="C22" s="338" t="s">
        <v>797</v>
      </c>
      <c r="D22" s="338"/>
      <c r="I22" s="313">
        <f>'Cash balance'!D22</f>
        <v>0</v>
      </c>
      <c r="K22" s="314">
        <f>'Cash balance'!F22</f>
        <v>0</v>
      </c>
    </row>
    <row r="23" spans="1:11" ht="12" customHeight="1" x14ac:dyDescent="0.15">
      <c r="A23" s="296" t="s">
        <v>539</v>
      </c>
      <c r="C23" s="338" t="s">
        <v>798</v>
      </c>
      <c r="D23" s="338"/>
      <c r="I23" s="313">
        <f>'Cash balance'!D25</f>
        <v>0</v>
      </c>
      <c r="K23" s="314">
        <f>'Cash balance'!F25</f>
        <v>0</v>
      </c>
    </row>
    <row r="24" spans="1:11" ht="12" customHeight="1" x14ac:dyDescent="0.15">
      <c r="A24" s="296" t="s">
        <v>540</v>
      </c>
      <c r="C24" s="338" t="s">
        <v>799</v>
      </c>
      <c r="D24" s="338"/>
      <c r="I24" s="313">
        <f>'Cash balance'!D36</f>
        <v>0</v>
      </c>
      <c r="K24" s="314">
        <f>'Cash balance'!F36</f>
        <v>0</v>
      </c>
    </row>
    <row r="25" spans="1:11" ht="12" customHeight="1" x14ac:dyDescent="0.15">
      <c r="A25" s="318" t="s">
        <v>800</v>
      </c>
      <c r="B25" s="318"/>
      <c r="C25" s="318" t="s">
        <v>541</v>
      </c>
      <c r="D25" s="318"/>
      <c r="E25" s="318" t="s">
        <v>542</v>
      </c>
      <c r="F25" s="318"/>
      <c r="G25" s="318"/>
      <c r="H25" s="318"/>
      <c r="I25" s="320">
        <f>-(I20+I21+I22)+(I23+I24)</f>
        <v>0</v>
      </c>
      <c r="J25" s="318"/>
      <c r="K25" s="271">
        <f>-(K20+K21+K22)+(K23+K24)</f>
        <v>0</v>
      </c>
    </row>
    <row r="26" spans="1:11" ht="6" customHeight="1" x14ac:dyDescent="0.15">
      <c r="A26" s="298"/>
      <c r="B26" s="298"/>
      <c r="C26" s="298"/>
      <c r="D26" s="298"/>
      <c r="E26" s="298"/>
      <c r="F26" s="298"/>
      <c r="G26" s="298"/>
      <c r="H26" s="298"/>
      <c r="I26" s="298"/>
      <c r="J26" s="298"/>
      <c r="K26" s="309"/>
    </row>
    <row r="27" spans="1:11" ht="12" customHeight="1" x14ac:dyDescent="0.15">
      <c r="A27" s="298"/>
      <c r="B27" s="298"/>
      <c r="C27" s="298" t="s">
        <v>543</v>
      </c>
      <c r="D27" s="298"/>
      <c r="E27" s="298"/>
      <c r="F27" s="298"/>
      <c r="G27" s="298"/>
      <c r="H27" s="298"/>
      <c r="I27" s="313"/>
      <c r="J27" s="298"/>
      <c r="K27" s="314"/>
    </row>
    <row r="28" spans="1:11" ht="12" customHeight="1" x14ac:dyDescent="0.15">
      <c r="A28" s="296" t="s">
        <v>544</v>
      </c>
      <c r="C28" s="338" t="s">
        <v>801</v>
      </c>
      <c r="D28" s="338"/>
      <c r="I28" s="313">
        <f>'Cash balance'!D42</f>
        <v>0</v>
      </c>
      <c r="K28" s="314">
        <f>'Cash balance'!F42</f>
        <v>0</v>
      </c>
    </row>
    <row r="29" spans="1:11" ht="12" customHeight="1" x14ac:dyDescent="0.15">
      <c r="A29" s="296" t="s">
        <v>545</v>
      </c>
      <c r="C29" s="338" t="s">
        <v>802</v>
      </c>
      <c r="D29" s="338"/>
      <c r="I29" s="313">
        <f>'Cash balance'!D43</f>
        <v>0</v>
      </c>
      <c r="K29" s="314">
        <f>'Cash balance'!F43</f>
        <v>0</v>
      </c>
    </row>
    <row r="30" spans="1:11" ht="12" customHeight="1" x14ac:dyDescent="0.15">
      <c r="A30" s="296" t="s">
        <v>547</v>
      </c>
      <c r="C30" s="338" t="s">
        <v>546</v>
      </c>
      <c r="D30" s="338"/>
      <c r="I30" s="313">
        <f>'Cash balance'!D44</f>
        <v>0</v>
      </c>
      <c r="K30" s="314">
        <f>'Cash balance'!F44</f>
        <v>0</v>
      </c>
    </row>
    <row r="31" spans="1:11" ht="12" customHeight="1" x14ac:dyDescent="0.15">
      <c r="A31" s="296" t="s">
        <v>548</v>
      </c>
      <c r="C31" s="338" t="s">
        <v>803</v>
      </c>
      <c r="D31" s="338"/>
      <c r="I31" s="313">
        <f>'Cash balance'!D45</f>
        <v>0</v>
      </c>
      <c r="K31" s="314">
        <f>'Cash balance'!F45</f>
        <v>0</v>
      </c>
    </row>
    <row r="32" spans="1:11" ht="12" customHeight="1" x14ac:dyDescent="0.15">
      <c r="A32" s="318" t="s">
        <v>549</v>
      </c>
      <c r="B32" s="318"/>
      <c r="C32" s="318" t="s">
        <v>550</v>
      </c>
      <c r="D32" s="318"/>
      <c r="E32" s="318" t="s">
        <v>551</v>
      </c>
      <c r="F32" s="318"/>
      <c r="G32" s="318"/>
      <c r="H32" s="318"/>
      <c r="I32" s="320">
        <f>(I28+I29)-(I30+I31)</f>
        <v>0</v>
      </c>
      <c r="J32" s="318"/>
      <c r="K32" s="271">
        <f>(K28+K29)-(K30+K31)</f>
        <v>0</v>
      </c>
    </row>
    <row r="33" spans="1:11" ht="6" customHeight="1" x14ac:dyDescent="0.15">
      <c r="A33" s="298"/>
      <c r="B33" s="298"/>
      <c r="C33" s="298"/>
      <c r="D33" s="298"/>
      <c r="E33" s="298"/>
      <c r="F33" s="298"/>
      <c r="G33" s="298"/>
      <c r="H33" s="298"/>
      <c r="I33" s="298"/>
      <c r="J33" s="298"/>
      <c r="K33" s="309"/>
    </row>
    <row r="34" spans="1:11" ht="12" customHeight="1" x14ac:dyDescent="0.15">
      <c r="A34" s="298"/>
      <c r="B34" s="298"/>
      <c r="C34" s="298" t="s">
        <v>552</v>
      </c>
      <c r="D34" s="298"/>
      <c r="E34" s="298"/>
      <c r="F34" s="298"/>
      <c r="G34" s="298"/>
      <c r="H34" s="298"/>
      <c r="I34" s="313"/>
      <c r="J34" s="298"/>
      <c r="K34" s="314"/>
    </row>
    <row r="35" spans="1:11" ht="12" customHeight="1" x14ac:dyDescent="0.15">
      <c r="A35" s="296" t="s">
        <v>553</v>
      </c>
      <c r="C35" s="338" t="s">
        <v>804</v>
      </c>
      <c r="D35" s="338"/>
      <c r="I35" s="313">
        <f>'Cash balance'!D49</f>
        <v>0</v>
      </c>
      <c r="K35" s="314">
        <f>'Cash balance'!F49</f>
        <v>0</v>
      </c>
    </row>
    <row r="36" spans="1:11" ht="12" customHeight="1" x14ac:dyDescent="0.15">
      <c r="A36" s="296" t="s">
        <v>555</v>
      </c>
      <c r="C36" s="338" t="s">
        <v>554</v>
      </c>
      <c r="D36" s="338"/>
      <c r="I36" s="313">
        <f>'Cash balance'!D50</f>
        <v>0</v>
      </c>
      <c r="K36" s="314">
        <f>'Cash balance'!F50</f>
        <v>0</v>
      </c>
    </row>
    <row r="37" spans="1:11" ht="12" customHeight="1" x14ac:dyDescent="0.15">
      <c r="A37" s="296" t="s">
        <v>556</v>
      </c>
      <c r="C37" s="338" t="s">
        <v>557</v>
      </c>
      <c r="D37" s="338"/>
      <c r="I37" s="313">
        <f>'Cash balance'!D51</f>
        <v>0</v>
      </c>
      <c r="K37" s="314">
        <f>'Cash balance'!F51</f>
        <v>0</v>
      </c>
    </row>
    <row r="38" spans="1:11" ht="12" customHeight="1" x14ac:dyDescent="0.15">
      <c r="A38" s="318" t="s">
        <v>534</v>
      </c>
      <c r="B38" s="318"/>
      <c r="C38" s="318" t="s">
        <v>558</v>
      </c>
      <c r="D38" s="318"/>
      <c r="E38" s="318" t="s">
        <v>561</v>
      </c>
      <c r="F38" s="318"/>
      <c r="G38" s="318"/>
      <c r="H38" s="318"/>
      <c r="I38" s="320">
        <f>SUM(I35:I37)</f>
        <v>0</v>
      </c>
      <c r="J38" s="318"/>
      <c r="K38" s="271">
        <f>SUM(K35:K37)</f>
        <v>0</v>
      </c>
    </row>
    <row r="39" spans="1:11" ht="12" customHeight="1" x14ac:dyDescent="0.15">
      <c r="A39" s="339" t="s">
        <v>560</v>
      </c>
      <c r="B39" s="339"/>
      <c r="C39" s="339" t="s">
        <v>559</v>
      </c>
      <c r="D39" s="339"/>
      <c r="E39" s="339" t="s">
        <v>562</v>
      </c>
      <c r="F39" s="339"/>
      <c r="G39" s="339"/>
      <c r="H39" s="339"/>
      <c r="I39" s="340">
        <f>I32+I38</f>
        <v>0</v>
      </c>
      <c r="J39" s="339"/>
      <c r="K39" s="341">
        <f>K32+K38</f>
        <v>0</v>
      </c>
    </row>
    <row r="40" spans="1:11" ht="6" customHeight="1" x14ac:dyDescent="0.15">
      <c r="A40" s="298"/>
      <c r="B40" s="298"/>
      <c r="C40" s="298"/>
      <c r="D40" s="298"/>
      <c r="E40" s="298"/>
      <c r="F40" s="298"/>
      <c r="G40" s="298"/>
      <c r="H40" s="298"/>
      <c r="I40" s="298"/>
      <c r="J40" s="298"/>
      <c r="K40" s="309"/>
    </row>
    <row r="41" spans="1:11" ht="12" customHeight="1" x14ac:dyDescent="0.15">
      <c r="A41" s="298" t="s">
        <v>565</v>
      </c>
      <c r="B41" s="298"/>
      <c r="C41" s="298" t="s">
        <v>563</v>
      </c>
      <c r="D41" s="298"/>
      <c r="E41" s="298" t="s">
        <v>567</v>
      </c>
      <c r="F41" s="298"/>
      <c r="G41" s="298"/>
      <c r="H41" s="298"/>
      <c r="I41" s="315">
        <f>I17+I25+I39</f>
        <v>8650000</v>
      </c>
      <c r="J41" s="298"/>
      <c r="K41" s="316">
        <f>K17+K25+K39</f>
        <v>8300000</v>
      </c>
    </row>
    <row r="42" spans="1:11" ht="12" customHeight="1" thickBot="1" x14ac:dyDescent="0.2">
      <c r="A42" s="322" t="s">
        <v>566</v>
      </c>
      <c r="B42" s="322"/>
      <c r="C42" s="322" t="s">
        <v>564</v>
      </c>
      <c r="D42" s="322"/>
      <c r="E42" s="322" t="s">
        <v>568</v>
      </c>
      <c r="F42" s="322"/>
      <c r="G42" s="322"/>
      <c r="H42" s="322"/>
      <c r="I42" s="323">
        <f>I41+I8</f>
        <v>11800000</v>
      </c>
      <c r="J42" s="322"/>
      <c r="K42" s="324">
        <f>K41+K8</f>
        <v>8300000</v>
      </c>
    </row>
    <row r="43" spans="1:11" ht="12" customHeight="1" thickTop="1" x14ac:dyDescent="0.15"/>
    <row r="44" spans="1:11" ht="12" customHeight="1" x14ac:dyDescent="0.15">
      <c r="A44" s="342" t="s">
        <v>569</v>
      </c>
      <c r="B44" s="342"/>
      <c r="I44" s="313">
        <f>Bilan!K37-Bilan!T37</f>
        <v>4000000</v>
      </c>
      <c r="K44" s="313">
        <f>Bilan!M37-Bilan!V37</f>
        <v>3150000</v>
      </c>
    </row>
    <row r="45" spans="1:11" ht="12" customHeight="1" x14ac:dyDescent="0.15">
      <c r="I45" s="333">
        <f>I42-I44</f>
        <v>7800000</v>
      </c>
      <c r="J45" s="333"/>
      <c r="K45" s="333">
        <f>K42-K44</f>
        <v>5150000</v>
      </c>
    </row>
    <row r="46" spans="1:11" ht="12" customHeight="1" x14ac:dyDescent="0.25">
      <c r="C46" s="375"/>
      <c r="D46"/>
      <c r="E46"/>
      <c r="F46"/>
      <c r="G46"/>
      <c r="H46"/>
      <c r="I46"/>
      <c r="J46"/>
      <c r="K46"/>
    </row>
    <row r="47" spans="1:11" s="326" customFormat="1" ht="12" customHeight="1" x14ac:dyDescent="0.25">
      <c r="D47" s="263"/>
      <c r="E47" s="263"/>
      <c r="F47" s="263"/>
      <c r="G47" s="263"/>
      <c r="H47" s="263"/>
      <c r="I47" s="263"/>
      <c r="J47" s="263"/>
      <c r="K47" s="263"/>
    </row>
    <row r="48" spans="1:11" ht="12" customHeight="1" x14ac:dyDescent="0.25">
      <c r="C48" s="326"/>
      <c r="D48"/>
      <c r="E48"/>
      <c r="F48"/>
      <c r="G48"/>
      <c r="H48"/>
      <c r="I48"/>
      <c r="J48"/>
      <c r="K48" s="263"/>
    </row>
    <row r="49" spans="3:11" s="326" customFormat="1" ht="12" customHeight="1" x14ac:dyDescent="0.25">
      <c r="D49" s="263"/>
      <c r="E49" s="263"/>
      <c r="F49" s="263"/>
      <c r="G49" s="263"/>
      <c r="H49" s="263"/>
      <c r="I49" s="263"/>
      <c r="J49" s="263"/>
      <c r="K49" s="263"/>
    </row>
    <row r="50" spans="3:11" s="326" customFormat="1" ht="12" customHeight="1" x14ac:dyDescent="0.25">
      <c r="D50" s="263"/>
      <c r="E50" s="263"/>
      <c r="F50" s="263"/>
      <c r="G50" s="263"/>
      <c r="H50" s="263"/>
      <c r="I50" s="263"/>
      <c r="J50" s="263"/>
      <c r="K50" s="263"/>
    </row>
    <row r="51" spans="3:11" s="326" customFormat="1" ht="12" customHeight="1" x14ac:dyDescent="0.25">
      <c r="D51" s="263"/>
      <c r="E51" s="263"/>
      <c r="F51" s="263"/>
      <c r="G51" s="263"/>
      <c r="H51" s="263"/>
      <c r="I51" s="263"/>
      <c r="J51" s="263"/>
      <c r="K51" s="263"/>
    </row>
    <row r="52" spans="3:11" ht="12" customHeight="1" x14ac:dyDescent="0.25">
      <c r="C52" s="326"/>
      <c r="D52"/>
      <c r="E52"/>
      <c r="F52"/>
      <c r="G52"/>
      <c r="H52"/>
      <c r="I52"/>
      <c r="J52"/>
      <c r="K52" s="263"/>
    </row>
    <row r="53" spans="3:11" ht="12" customHeight="1" x14ac:dyDescent="0.25">
      <c r="C53"/>
      <c r="D53"/>
      <c r="E53"/>
      <c r="F53"/>
      <c r="G53"/>
      <c r="H53"/>
      <c r="I53"/>
      <c r="J53"/>
      <c r="K53"/>
    </row>
    <row r="54" spans="3:11" ht="12" customHeight="1" x14ac:dyDescent="0.25">
      <c r="C54"/>
      <c r="D54"/>
      <c r="E54"/>
      <c r="F54"/>
      <c r="G54"/>
      <c r="H54"/>
      <c r="I54"/>
      <c r="J54"/>
      <c r="K54"/>
    </row>
    <row r="55" spans="3:11" ht="12" customHeight="1" x14ac:dyDescent="0.25">
      <c r="C55"/>
      <c r="D55"/>
      <c r="E55"/>
      <c r="F55"/>
      <c r="G55"/>
      <c r="H55"/>
      <c r="I55"/>
      <c r="J55"/>
      <c r="K55"/>
    </row>
    <row r="56" spans="3:11" ht="12" customHeight="1" x14ac:dyDescent="0.25">
      <c r="C56"/>
      <c r="D56"/>
      <c r="E56"/>
      <c r="F56"/>
      <c r="G56"/>
      <c r="H56"/>
      <c r="I56"/>
      <c r="J56"/>
      <c r="K56"/>
    </row>
    <row r="57" spans="3:11" ht="12" customHeight="1" x14ac:dyDescent="0.25">
      <c r="C57"/>
      <c r="D57"/>
      <c r="E57"/>
      <c r="F57"/>
      <c r="G57"/>
      <c r="H57"/>
      <c r="I57"/>
      <c r="J57"/>
      <c r="K57"/>
    </row>
    <row r="58" spans="3:11" ht="12" customHeight="1" x14ac:dyDescent="0.25">
      <c r="C58"/>
      <c r="D58"/>
      <c r="E58"/>
      <c r="F58"/>
      <c r="G58"/>
      <c r="H58"/>
      <c r="I58"/>
      <c r="J58"/>
      <c r="K58"/>
    </row>
  </sheetData>
  <mergeCells count="4">
    <mergeCell ref="J2:K2"/>
    <mergeCell ref="J3:K3"/>
    <mergeCell ref="A5:K5"/>
    <mergeCell ref="C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showGridLines="0" tabSelected="1" topLeftCell="D26" zoomScale="90" zoomScaleNormal="90" workbookViewId="0">
      <selection activeCell="G30" sqref="G30"/>
    </sheetView>
  </sheetViews>
  <sheetFormatPr baseColWidth="10" defaultColWidth="11.42578125" defaultRowHeight="15" x14ac:dyDescent="0.25"/>
  <cols>
    <col min="1" max="1" width="28.28515625" style="66" customWidth="1"/>
    <col min="2" max="2" width="11.42578125" style="228"/>
    <col min="3" max="3" width="11.42578125" style="66"/>
    <col min="4" max="4" width="11.42578125" style="228" customWidth="1"/>
    <col min="5" max="5" width="0.140625" style="66" customWidth="1"/>
    <col min="6" max="6" width="74.7109375" style="66" customWidth="1"/>
    <col min="7" max="7" width="33.42578125" style="66" customWidth="1"/>
    <col min="8" max="8" width="19.5703125" style="66" customWidth="1"/>
    <col min="9" max="9" width="21" style="66" bestFit="1" customWidth="1"/>
    <col min="10" max="10" width="17.5703125" style="66" customWidth="1"/>
    <col min="11" max="16384" width="11.42578125" style="66"/>
  </cols>
  <sheetData>
    <row r="1" spans="1:11" s="427" customFormat="1" ht="15.75" x14ac:dyDescent="0.25">
      <c r="A1" s="407" t="s">
        <v>641</v>
      </c>
      <c r="B1" s="454" t="str">
        <f>+Bilan!D2</f>
        <v>ELESYST SA</v>
      </c>
      <c r="C1" s="464"/>
      <c r="D1" s="464"/>
      <c r="E1" s="464"/>
      <c r="F1" s="464"/>
      <c r="G1" s="407" t="s">
        <v>642</v>
      </c>
      <c r="H1" s="428" t="str">
        <f>+Bilan!Q2</f>
        <v>2019</v>
      </c>
      <c r="I1" s="425"/>
      <c r="J1" s="425"/>
      <c r="K1" s="426"/>
    </row>
    <row r="2" spans="1:11" s="427" customFormat="1" ht="15.75" x14ac:dyDescent="0.25">
      <c r="A2" s="407" t="s">
        <v>643</v>
      </c>
      <c r="B2" s="469" t="str">
        <f>+Bilan!D3</f>
        <v>MO1779U7P00197</v>
      </c>
      <c r="C2" s="469"/>
      <c r="D2" s="469"/>
      <c r="E2" s="469"/>
      <c r="G2" s="407" t="s">
        <v>644</v>
      </c>
      <c r="H2" s="429">
        <f>+Bilan!Q3</f>
        <v>12</v>
      </c>
      <c r="I2" s="425"/>
      <c r="J2" s="425"/>
      <c r="K2" s="426"/>
    </row>
    <row r="3" spans="1:11" ht="15.75" thickBot="1" x14ac:dyDescent="0.3"/>
    <row r="4" spans="1:11" s="110" customFormat="1" ht="43.5" thickBot="1" x14ac:dyDescent="0.3">
      <c r="A4" s="105" t="s">
        <v>431</v>
      </c>
      <c r="B4" s="251" t="s">
        <v>0</v>
      </c>
      <c r="C4" s="136" t="s">
        <v>445</v>
      </c>
      <c r="D4" s="229" t="s">
        <v>435</v>
      </c>
      <c r="E4" s="106"/>
      <c r="F4" s="267" t="s">
        <v>432</v>
      </c>
      <c r="G4" s="105" t="s">
        <v>433</v>
      </c>
      <c r="H4" s="107" t="s">
        <v>434</v>
      </c>
      <c r="I4" s="108" t="s">
        <v>129</v>
      </c>
      <c r="J4" s="109" t="s">
        <v>442</v>
      </c>
    </row>
    <row r="5" spans="1:11" ht="15" customHeight="1" x14ac:dyDescent="0.25">
      <c r="A5" s="499" t="s">
        <v>2</v>
      </c>
      <c r="B5" s="472">
        <v>0.1</v>
      </c>
      <c r="C5" s="3">
        <v>1</v>
      </c>
      <c r="D5" s="230">
        <v>1.4999999999999999E-2</v>
      </c>
      <c r="E5" s="502" t="s">
        <v>3</v>
      </c>
      <c r="F5" s="503"/>
      <c r="G5" s="111" t="s">
        <v>711</v>
      </c>
      <c r="H5" s="70">
        <f>IF(G5="","",VLOOKUP(G5,'tableaux annexes'!C:D,2,0))</f>
        <v>6</v>
      </c>
      <c r="I5" s="71">
        <f t="shared" ref="I5:I11" si="0">+D5*H5</f>
        <v>0.09</v>
      </c>
      <c r="J5" s="509" t="s">
        <v>2</v>
      </c>
    </row>
    <row r="6" spans="1:11" x14ac:dyDescent="0.25">
      <c r="A6" s="500"/>
      <c r="B6" s="473"/>
      <c r="C6" s="65">
        <v>2</v>
      </c>
      <c r="D6" s="231">
        <v>0.01</v>
      </c>
      <c r="E6" s="470" t="s">
        <v>453</v>
      </c>
      <c r="F6" s="471"/>
      <c r="G6" s="104" t="s">
        <v>177</v>
      </c>
      <c r="H6" s="96">
        <f>IF(G6="","",VLOOKUP(G6,'tableaux annexes'!K:M,2,0))</f>
        <v>1</v>
      </c>
      <c r="I6" s="97">
        <f t="shared" si="0"/>
        <v>0.01</v>
      </c>
      <c r="J6" s="510"/>
    </row>
    <row r="7" spans="1:11" x14ac:dyDescent="0.25">
      <c r="A7" s="500"/>
      <c r="B7" s="473"/>
      <c r="C7" s="4">
        <v>3</v>
      </c>
      <c r="D7" s="232">
        <v>0.01</v>
      </c>
      <c r="E7" s="470" t="s">
        <v>4</v>
      </c>
      <c r="F7" s="471"/>
      <c r="G7" s="112" t="s">
        <v>131</v>
      </c>
      <c r="H7" s="52">
        <f>IF(G7="","",VLOOKUP(G7,'tableaux annexes'!G:H,2,0))</f>
        <v>3</v>
      </c>
      <c r="I7" s="72">
        <f t="shared" si="0"/>
        <v>0.03</v>
      </c>
      <c r="J7" s="510"/>
    </row>
    <row r="8" spans="1:11" x14ac:dyDescent="0.25">
      <c r="A8" s="500"/>
      <c r="B8" s="473"/>
      <c r="C8" s="65">
        <v>4</v>
      </c>
      <c r="D8" s="231">
        <v>0.02</v>
      </c>
      <c r="E8" s="470" t="s">
        <v>5</v>
      </c>
      <c r="F8" s="471"/>
      <c r="G8" s="104" t="s">
        <v>135</v>
      </c>
      <c r="H8" s="96">
        <f>IF(G8="","",VLOOKUP(G8,'tableaux annexes'!O:P,2,0))</f>
        <v>3</v>
      </c>
      <c r="I8" s="80">
        <f t="shared" si="0"/>
        <v>0.06</v>
      </c>
      <c r="J8" s="510"/>
    </row>
    <row r="9" spans="1:11" x14ac:dyDescent="0.25">
      <c r="A9" s="500"/>
      <c r="B9" s="473"/>
      <c r="C9" s="273">
        <v>5</v>
      </c>
      <c r="D9" s="231">
        <v>0.02</v>
      </c>
      <c r="E9" s="504" t="s">
        <v>6</v>
      </c>
      <c r="F9" s="505"/>
      <c r="G9" s="278" t="s">
        <v>141</v>
      </c>
      <c r="H9" s="277">
        <f>IF(G9="","",VLOOKUP(G9,'tableaux annexes'!S:T,2,0))</f>
        <v>1</v>
      </c>
      <c r="I9" s="276">
        <f t="shared" si="0"/>
        <v>0.02</v>
      </c>
      <c r="J9" s="510"/>
    </row>
    <row r="10" spans="1:11" ht="15.75" thickBot="1" x14ac:dyDescent="0.3">
      <c r="A10" s="500"/>
      <c r="B10" s="473"/>
      <c r="C10" s="4">
        <v>6</v>
      </c>
      <c r="D10" s="233">
        <v>1.4999999999999999E-2</v>
      </c>
      <c r="E10" s="470" t="s">
        <v>7</v>
      </c>
      <c r="F10" s="471"/>
      <c r="G10" s="113" t="s">
        <v>186</v>
      </c>
      <c r="H10" s="52">
        <f>IF(G10="","",VLOOKUP(G10,'tableaux annexes'!W:X,2,0))</f>
        <v>5</v>
      </c>
      <c r="I10" s="72">
        <f t="shared" si="0"/>
        <v>7.4999999999999997E-2</v>
      </c>
      <c r="J10" s="510"/>
    </row>
    <row r="11" spans="1:11" ht="15.75" thickBot="1" x14ac:dyDescent="0.3">
      <c r="A11" s="501"/>
      <c r="B11" s="474"/>
      <c r="C11" s="5">
        <v>7</v>
      </c>
      <c r="D11" s="234">
        <v>0.01</v>
      </c>
      <c r="E11" s="495" t="s">
        <v>8</v>
      </c>
      <c r="F11" s="496"/>
      <c r="G11" s="114" t="s">
        <v>196</v>
      </c>
      <c r="H11" s="73">
        <f>IF(G11="","",VLOOKUP(G11,'tableaux annexes'!AA:AB,2,0))</f>
        <v>2</v>
      </c>
      <c r="I11" s="72">
        <f t="shared" si="0"/>
        <v>0.02</v>
      </c>
      <c r="J11" s="75">
        <f>SUM(I5:I11)</f>
        <v>0.30499999999999999</v>
      </c>
    </row>
    <row r="12" spans="1:11" ht="15" customHeight="1" thickBot="1" x14ac:dyDescent="0.3">
      <c r="A12" s="227"/>
      <c r="B12" s="235"/>
      <c r="C12" s="227"/>
      <c r="D12" s="235"/>
      <c r="E12" s="227"/>
      <c r="F12" s="227"/>
      <c r="G12" s="227"/>
      <c r="H12" s="227"/>
      <c r="I12" s="227"/>
    </row>
    <row r="13" spans="1:11" ht="28.5" customHeight="1" x14ac:dyDescent="0.25">
      <c r="A13" s="506" t="s">
        <v>9</v>
      </c>
      <c r="B13" s="472">
        <v>0.2</v>
      </c>
      <c r="C13" s="3">
        <v>8</v>
      </c>
      <c r="D13" s="236">
        <v>0.04</v>
      </c>
      <c r="E13" s="502" t="s">
        <v>170</v>
      </c>
      <c r="F13" s="503"/>
      <c r="G13" s="76" t="s">
        <v>201</v>
      </c>
      <c r="H13" s="77">
        <f>IF(G13="","",VLOOKUP(G13,'tableaux annexes'!AE:AF,2,0))</f>
        <v>9</v>
      </c>
      <c r="I13" s="88">
        <f>+D13*H13</f>
        <v>0.36</v>
      </c>
      <c r="J13" s="479" t="s">
        <v>436</v>
      </c>
    </row>
    <row r="14" spans="1:11" ht="15" customHeight="1" x14ac:dyDescent="0.25">
      <c r="A14" s="507"/>
      <c r="B14" s="473"/>
      <c r="C14" s="68">
        <v>9</v>
      </c>
      <c r="D14" s="237">
        <v>0.01</v>
      </c>
      <c r="E14" s="470" t="s">
        <v>440</v>
      </c>
      <c r="F14" s="471"/>
      <c r="G14" s="78" t="s">
        <v>122</v>
      </c>
      <c r="H14" s="72">
        <f>IF(G14="","",VLOOKUP(G14,'tableaux annexes'!AM:AN,2,0))</f>
        <v>3</v>
      </c>
      <c r="I14" s="89">
        <f>+D14*H14</f>
        <v>0.03</v>
      </c>
      <c r="J14" s="480"/>
    </row>
    <row r="15" spans="1:11" x14ac:dyDescent="0.25">
      <c r="A15" s="507"/>
      <c r="B15" s="473"/>
      <c r="C15" s="4">
        <v>10</v>
      </c>
      <c r="D15" s="238">
        <v>0.01</v>
      </c>
      <c r="E15" s="470" t="s">
        <v>439</v>
      </c>
      <c r="F15" s="471"/>
      <c r="G15" s="78" t="s">
        <v>160</v>
      </c>
      <c r="H15" s="72">
        <f>IF(G15="","",VLOOKUP(G15,'tableaux annexes'!AM:AN,2,0))</f>
        <v>1</v>
      </c>
      <c r="I15" s="89">
        <f t="shared" ref="I15:I22" si="1">+D15*H15</f>
        <v>0.01</v>
      </c>
      <c r="J15" s="480"/>
    </row>
    <row r="16" spans="1:11" x14ac:dyDescent="0.25">
      <c r="A16" s="507"/>
      <c r="B16" s="473"/>
      <c r="C16" s="4">
        <v>11</v>
      </c>
      <c r="D16" s="238">
        <v>0.01</v>
      </c>
      <c r="E16" s="470" t="s">
        <v>10</v>
      </c>
      <c r="F16" s="471"/>
      <c r="G16" s="78" t="s">
        <v>121</v>
      </c>
      <c r="H16" s="72">
        <f>IF(G16="","",VLOOKUP(G16,'tableaux annexes'!AM:AN,2,0))</f>
        <v>2</v>
      </c>
      <c r="I16" s="89">
        <f t="shared" si="1"/>
        <v>0.02</v>
      </c>
      <c r="J16" s="480"/>
    </row>
    <row r="17" spans="1:10" x14ac:dyDescent="0.25">
      <c r="A17" s="507"/>
      <c r="B17" s="473"/>
      <c r="C17" s="4">
        <v>12</v>
      </c>
      <c r="D17" s="238">
        <v>0.02</v>
      </c>
      <c r="E17" s="470" t="s">
        <v>11</v>
      </c>
      <c r="F17" s="471"/>
      <c r="G17" s="78" t="s">
        <v>161</v>
      </c>
      <c r="H17" s="72">
        <f>IF(G17="","",VLOOKUP(G17,'tableaux annexes'!AM:AN,2,0))</f>
        <v>4</v>
      </c>
      <c r="I17" s="89">
        <f t="shared" si="1"/>
        <v>0.08</v>
      </c>
      <c r="J17" s="480"/>
    </row>
    <row r="18" spans="1:10" x14ac:dyDescent="0.25">
      <c r="A18" s="507"/>
      <c r="B18" s="473"/>
      <c r="C18" s="273">
        <v>13</v>
      </c>
      <c r="D18" s="239">
        <v>0.03</v>
      </c>
      <c r="E18" s="504" t="s">
        <v>776</v>
      </c>
      <c r="F18" s="505"/>
      <c r="G18" s="274" t="s">
        <v>231</v>
      </c>
      <c r="H18" s="275">
        <f>IF(G18="","",VLOOKUP(G18,'tableaux annexes'!AQ:AR,2,0))</f>
        <v>7</v>
      </c>
      <c r="I18" s="89">
        <f t="shared" si="1"/>
        <v>0.21</v>
      </c>
      <c r="J18" s="480"/>
    </row>
    <row r="19" spans="1:10" x14ac:dyDescent="0.25">
      <c r="A19" s="507"/>
      <c r="B19" s="473"/>
      <c r="C19" s="4">
        <v>14</v>
      </c>
      <c r="D19" s="238">
        <v>0.03</v>
      </c>
      <c r="E19" s="470" t="s">
        <v>778</v>
      </c>
      <c r="F19" s="471"/>
      <c r="G19" s="78" t="s">
        <v>162</v>
      </c>
      <c r="H19" s="72">
        <f>IF(G19="","",VLOOKUP(G19,'tableaux annexes'!AU:AV,2,0))</f>
        <v>8</v>
      </c>
      <c r="I19" s="89">
        <f t="shared" si="1"/>
        <v>0.24</v>
      </c>
      <c r="J19" s="480"/>
    </row>
    <row r="20" spans="1:10" x14ac:dyDescent="0.25">
      <c r="A20" s="507"/>
      <c r="B20" s="473"/>
      <c r="C20" s="65">
        <v>15</v>
      </c>
      <c r="D20" s="239">
        <v>0.03</v>
      </c>
      <c r="E20" s="470" t="s">
        <v>779</v>
      </c>
      <c r="F20" s="471"/>
      <c r="G20" s="87" t="s">
        <v>155</v>
      </c>
      <c r="H20" s="80">
        <f>IF(G20="","",VLOOKUP(G20,'tableaux annexes'!AY:AZ,2,0))</f>
        <v>1</v>
      </c>
      <c r="I20" s="89">
        <f t="shared" si="1"/>
        <v>0.03</v>
      </c>
      <c r="J20" s="480"/>
    </row>
    <row r="21" spans="1:10" ht="15.75" thickBot="1" x14ac:dyDescent="0.3">
      <c r="A21" s="507"/>
      <c r="B21" s="473"/>
      <c r="C21" s="4">
        <v>16</v>
      </c>
      <c r="D21" s="238">
        <v>0.01</v>
      </c>
      <c r="E21" s="470" t="s">
        <v>13</v>
      </c>
      <c r="F21" s="471"/>
      <c r="G21" s="78" t="s">
        <v>121</v>
      </c>
      <c r="H21" s="72">
        <f>IF(G21="","",VLOOKUP(G21,'tableaux annexes'!BC:BD,2,0))</f>
        <v>2</v>
      </c>
      <c r="I21" s="89">
        <f t="shared" si="1"/>
        <v>0.02</v>
      </c>
      <c r="J21" s="481"/>
    </row>
    <row r="22" spans="1:10" s="116" customFormat="1" ht="30.75" customHeight="1" thickBot="1" x14ac:dyDescent="0.3">
      <c r="A22" s="508"/>
      <c r="B22" s="474"/>
      <c r="C22" s="117">
        <v>17</v>
      </c>
      <c r="D22" s="240">
        <v>0.01</v>
      </c>
      <c r="E22" s="482" t="s">
        <v>14</v>
      </c>
      <c r="F22" s="483"/>
      <c r="G22" s="120" t="s">
        <v>768</v>
      </c>
      <c r="H22" s="118">
        <f>IF(G22="","",VLOOKUP(G22,'tableaux annexes'!BG:BH,2,0))</f>
        <v>3</v>
      </c>
      <c r="I22" s="103">
        <f t="shared" si="1"/>
        <v>0.03</v>
      </c>
      <c r="J22" s="119">
        <f>SUM(I13:I22)</f>
        <v>1.03</v>
      </c>
    </row>
    <row r="23" spans="1:10" ht="15.75" thickBot="1" x14ac:dyDescent="0.3">
      <c r="A23" s="90"/>
      <c r="B23" s="252"/>
      <c r="C23" s="227"/>
      <c r="D23" s="235"/>
      <c r="E23" s="227"/>
      <c r="F23" s="227"/>
      <c r="G23" s="227"/>
      <c r="H23" s="227"/>
      <c r="I23" s="227"/>
      <c r="J23" s="93"/>
    </row>
    <row r="24" spans="1:10" s="116" customFormat="1" ht="52.5" customHeight="1" thickBot="1" x14ac:dyDescent="0.3">
      <c r="A24" s="269" t="s">
        <v>410</v>
      </c>
      <c r="B24" s="289" t="s">
        <v>0</v>
      </c>
      <c r="C24" s="115"/>
      <c r="D24" s="241"/>
      <c r="E24" s="490" t="s">
        <v>432</v>
      </c>
      <c r="F24" s="491"/>
      <c r="G24" s="105" t="s">
        <v>629</v>
      </c>
      <c r="H24" s="107" t="s">
        <v>438</v>
      </c>
      <c r="I24" s="108" t="s">
        <v>129</v>
      </c>
      <c r="J24" s="109" t="s">
        <v>442</v>
      </c>
    </row>
    <row r="25" spans="1:10" ht="15" customHeight="1" x14ac:dyDescent="0.25">
      <c r="A25" s="516" t="s">
        <v>16</v>
      </c>
      <c r="B25" s="472">
        <v>0.45</v>
      </c>
      <c r="C25" s="91">
        <v>18</v>
      </c>
      <c r="D25" s="242">
        <v>0.03</v>
      </c>
      <c r="E25" s="492"/>
      <c r="F25" s="153" t="s">
        <v>17</v>
      </c>
      <c r="G25" s="356">
        <f>'INDICATEURS FIN'!D78</f>
        <v>-14.810526315789474</v>
      </c>
      <c r="H25" s="366">
        <f>IF(G25&lt;0.2,10,IF(G25&lt;=0.5,9,IF(G25&lt;=0.8,8,IF(G25&lt;=1,7,IF(G25&lt;=1.2,6,IF(G25&lt;=1.4,5,IF(G25&lt;=1.6,4,IF(G25&lt;=1.8,3,IF(G25&lt;=2,2,1)))))))))</f>
        <v>10</v>
      </c>
      <c r="I25" s="77">
        <f t="shared" ref="I25:I37" si="2">H25*D25</f>
        <v>0.3</v>
      </c>
      <c r="J25" s="484" t="s">
        <v>15</v>
      </c>
    </row>
    <row r="26" spans="1:10" ht="25.5" customHeight="1" thickBot="1" x14ac:dyDescent="0.3">
      <c r="A26" s="517"/>
      <c r="B26" s="473"/>
      <c r="C26" s="92">
        <v>19</v>
      </c>
      <c r="D26" s="243">
        <v>0.03</v>
      </c>
      <c r="E26" s="494"/>
      <c r="F26" s="264" t="s">
        <v>870</v>
      </c>
      <c r="G26" s="357">
        <f>'INDICATEURS FIN'!D79</f>
        <v>0.1031390134529148</v>
      </c>
      <c r="H26" s="367">
        <f>IF(G26&lt;0.1,1,IF(G26&lt;=0.2,2,IF(G26&lt;0.4,3,IF(G26&lt;0.45,4,IF(G26&lt;0.49,5,IF(G26&lt;0.6,6,IF(G26&lt;0.7,7,IF(G26&lt;0.8,8,IF(G26&lt;1,9,10)))))))))</f>
        <v>2</v>
      </c>
      <c r="I26" s="295">
        <f t="shared" si="2"/>
        <v>0.06</v>
      </c>
      <c r="J26" s="485"/>
    </row>
    <row r="27" spans="1:10" x14ac:dyDescent="0.25">
      <c r="A27" s="516" t="s">
        <v>18</v>
      </c>
      <c r="B27" s="473"/>
      <c r="C27" s="91">
        <v>20</v>
      </c>
      <c r="D27" s="242">
        <v>0.04</v>
      </c>
      <c r="E27" s="492"/>
      <c r="F27" s="153" t="s">
        <v>872</v>
      </c>
      <c r="G27" s="356">
        <f>'INDICATEURS FIN'!D80</f>
        <v>0.94117647058823528</v>
      </c>
      <c r="H27" s="366">
        <f>IF(G27&lt;1,1,IF(G27&lt;1.5,2,IF(G27&lt;2,3,IF(G27&lt;3,4,IF(G27&lt;3.4,5,IF(G27&lt;3.8,6,IF(G27&lt;4,7,IF(G27&lt;4.4,8,IF(G27&lt;5,9,10)))))))))</f>
        <v>1</v>
      </c>
      <c r="I27" s="77">
        <f t="shared" si="2"/>
        <v>0.04</v>
      </c>
      <c r="J27" s="485"/>
    </row>
    <row r="28" spans="1:10" x14ac:dyDescent="0.25">
      <c r="A28" s="518"/>
      <c r="B28" s="473"/>
      <c r="C28" s="103">
        <v>21</v>
      </c>
      <c r="D28" s="244">
        <v>0.04</v>
      </c>
      <c r="E28" s="493"/>
      <c r="F28" s="154" t="s">
        <v>874</v>
      </c>
      <c r="G28" s="358">
        <f>'INDICATEURS FIN'!D81</f>
        <v>7.208333333333333</v>
      </c>
      <c r="H28" s="368">
        <f>IF(G28&gt;6,1,IF(G28&gt;5,2,IF(G28&gt;4,3,IF(G28&gt;3,4,IF(G28=3,5,IF(G28&lt;3,6,IF(G28&lt;2,7,IF(G28&lt;1.5,8,IF(G28&lt;1,9,10)))))))))</f>
        <v>1</v>
      </c>
      <c r="I28" s="72">
        <f t="shared" si="2"/>
        <v>0.04</v>
      </c>
      <c r="J28" s="485"/>
    </row>
    <row r="29" spans="1:10" x14ac:dyDescent="0.25">
      <c r="A29" s="518"/>
      <c r="B29" s="473"/>
      <c r="C29" s="103">
        <v>22</v>
      </c>
      <c r="D29" s="244">
        <v>0.04</v>
      </c>
      <c r="E29" s="493"/>
      <c r="F29" s="154" t="s">
        <v>877</v>
      </c>
      <c r="G29" s="359">
        <f>'INDICATEURS FIN'!D82</f>
        <v>0.68522483940042822</v>
      </c>
      <c r="H29" s="368">
        <f>IF(G29&lt;3%,10,IF(G29&lt;5,9,IF(G29&lt;10%,8,IF(G29&lt;15%,7,IF(G29&lt;20%,6,IF(G29&lt;25%,5,IF(G29=25%,4,IF(G29&gt;25%,3,IF(G29&gt;30%,2,IF(G29&gt;35%,1))))))))))</f>
        <v>9</v>
      </c>
      <c r="I29" s="72">
        <f t="shared" si="2"/>
        <v>0.36</v>
      </c>
      <c r="J29" s="485"/>
    </row>
    <row r="30" spans="1:10" ht="15.75" customHeight="1" thickBot="1" x14ac:dyDescent="0.3">
      <c r="A30" s="517"/>
      <c r="B30" s="473"/>
      <c r="C30" s="92">
        <v>23</v>
      </c>
      <c r="D30" s="243">
        <v>0.04</v>
      </c>
      <c r="E30" s="494"/>
      <c r="F30" s="155" t="s">
        <v>907</v>
      </c>
      <c r="G30" s="360">
        <f>'INDICATEURS FIN'!D83</f>
        <v>0.84677419354838712</v>
      </c>
      <c r="H30" s="369">
        <f>IF(G30&lt;0.2,10,IF(G30&lt;=0.5,9,IF(G30&lt;=0.8,8,IF(G30&lt;=1,7,IF(G30&lt;=1.2,6,IF(G30&lt;=1.4,5,IF(G30&lt;=1.6,4,IF(G30&lt;=1.8,3,IF(G30&lt;=2,2,1)))))))))</f>
        <v>7</v>
      </c>
      <c r="I30" s="80">
        <f t="shared" si="2"/>
        <v>0.28000000000000003</v>
      </c>
      <c r="J30" s="485"/>
    </row>
    <row r="31" spans="1:10" ht="15" customHeight="1" x14ac:dyDescent="0.25">
      <c r="A31" s="519" t="s">
        <v>19</v>
      </c>
      <c r="B31" s="473"/>
      <c r="C31" s="91">
        <v>24</v>
      </c>
      <c r="D31" s="242">
        <v>0.05</v>
      </c>
      <c r="E31" s="492"/>
      <c r="F31" s="157" t="s">
        <v>411</v>
      </c>
      <c r="G31" s="292">
        <f>'INDICATEURS FIN'!D84</f>
        <v>5.9923664122137401</v>
      </c>
      <c r="H31" s="366">
        <f>IF(G31&lt;10%,10,IF(G31&lt;15%,9,IF(G31&lt;25%,8,IF(G31&lt;30%,7,IF(G31=30%,6,IF(G31&gt;30%,5,IF(G31&gt;35%,4,IF(G31&gt;40%,3,IF(G31&gt;45%,2,IF(G31&gt;50%,1))))))))))</f>
        <v>5</v>
      </c>
      <c r="I31" s="77">
        <f t="shared" si="2"/>
        <v>0.25</v>
      </c>
      <c r="J31" s="486"/>
    </row>
    <row r="32" spans="1:10" x14ac:dyDescent="0.25">
      <c r="A32" s="518"/>
      <c r="B32" s="473"/>
      <c r="C32" s="103">
        <v>25</v>
      </c>
      <c r="D32" s="244">
        <v>0.04</v>
      </c>
      <c r="E32" s="493"/>
      <c r="F32" s="154" t="s">
        <v>926</v>
      </c>
      <c r="G32" s="364">
        <f>'INDICATEURS FIN'!D85</f>
        <v>0.297085201793722</v>
      </c>
      <c r="H32" s="368">
        <f>IF(G32&lt;1%,10,IF(G32&lt;3%,9,IF(G32&lt;5%,8,IF(G32&lt;7.5%,7,IF(G32&lt;10%,6,IF(G32=10%,5,IF(G32&gt;12.5%,4,IF(G32&gt;15%,3,IF(G32&gt;17.5%,2,IF(G32&gt;20%,1))))))))))</f>
        <v>4</v>
      </c>
      <c r="I32" s="72">
        <f t="shared" si="2"/>
        <v>0.16</v>
      </c>
      <c r="J32" s="486"/>
    </row>
    <row r="33" spans="1:10" x14ac:dyDescent="0.25">
      <c r="A33" s="518"/>
      <c r="B33" s="473"/>
      <c r="C33" s="103">
        <v>26</v>
      </c>
      <c r="D33" s="435">
        <v>0.04</v>
      </c>
      <c r="E33" s="493"/>
      <c r="F33" s="154" t="s">
        <v>979</v>
      </c>
      <c r="G33" s="364">
        <f>'INDICATEURS FIN'!D86</f>
        <v>5.333333333333333</v>
      </c>
      <c r="H33" s="368">
        <f>IF(G33&lt;1%,10,IF(G33&lt;3%,9,IF(G33&lt;5%,8,IF(G33&lt;7.5%,7,IF(G33&lt;10%,6,IF(G33=10%,5,IF(G33&gt;12.5%,4,IF(G33&gt;15%,3,IF(G33&gt;17.5%,2,IF(G33&gt;20%,1))))))))))</f>
        <v>4</v>
      </c>
      <c r="I33" s="72">
        <f t="shared" si="2"/>
        <v>0.16</v>
      </c>
      <c r="J33" s="486"/>
    </row>
    <row r="34" spans="1:10" ht="15.75" thickBot="1" x14ac:dyDescent="0.3">
      <c r="A34" s="517"/>
      <c r="B34" s="473"/>
      <c r="C34" s="92">
        <v>27</v>
      </c>
      <c r="D34" s="243">
        <v>0.04</v>
      </c>
      <c r="E34" s="494"/>
      <c r="F34" s="156" t="s">
        <v>902</v>
      </c>
      <c r="G34" s="361">
        <f>'INDICATEURS FIN'!D87</f>
        <v>4</v>
      </c>
      <c r="H34" s="370">
        <f>IF(G34&lt;0.2,10,IF(G34&lt;0.5,9,IF(G34&lt;0.8,8,IF(G34&lt;1,7,IF(G34=1,6,IF(G34&gt;1.2,5,IF(G34&gt;1.4,4,IF(G34&gt;1.6,3,IF(G34&gt;1.8,2,IF(G34&gt;2,1))))))))))</f>
        <v>5</v>
      </c>
      <c r="I34" s="74">
        <f t="shared" si="2"/>
        <v>0.2</v>
      </c>
      <c r="J34" s="486"/>
    </row>
    <row r="35" spans="1:10" x14ac:dyDescent="0.25">
      <c r="A35" s="516" t="s">
        <v>21</v>
      </c>
      <c r="B35" s="473"/>
      <c r="C35" s="91">
        <v>28</v>
      </c>
      <c r="D35" s="242">
        <v>0.02</v>
      </c>
      <c r="E35" s="492"/>
      <c r="F35" s="158" t="s">
        <v>932</v>
      </c>
      <c r="G35" s="292">
        <f>'INDICATEURS FIN'!D88</f>
        <v>13.949044585987261</v>
      </c>
      <c r="H35" s="371">
        <f>IF(G35&lt;10,1,IF(G35&lt;20,2,IF(G35&lt;30,3,IF(G35&lt;40,4,IF(G35&lt;50,5,IF(G35&lt;60,6,IF(G35&lt;70,7,IF(G35&lt;80,8,IF(G35&lt;90,9,10)))))))))</f>
        <v>2</v>
      </c>
      <c r="I35" s="71">
        <f t="shared" si="2"/>
        <v>0.04</v>
      </c>
      <c r="J35" s="485"/>
    </row>
    <row r="36" spans="1:10" ht="15.75" thickBot="1" x14ac:dyDescent="0.3">
      <c r="A36" s="518"/>
      <c r="B36" s="473"/>
      <c r="C36" s="103">
        <v>29</v>
      </c>
      <c r="D36" s="244">
        <v>0.02</v>
      </c>
      <c r="E36" s="493"/>
      <c r="F36" s="154" t="s">
        <v>936</v>
      </c>
      <c r="G36" s="293">
        <f>'INDICATEURS FIN'!D89</f>
        <v>243.33333333333331</v>
      </c>
      <c r="H36" s="368">
        <f>IF(G36&lt;10,10,IF(G36&lt;=20,9,IF(G36&lt;=30,8,IF(G36&lt;=40,7,IF(G36&lt;=50,6,IF(G36&lt;=60,5,IF(G36&lt;=70,4,IF(G36&lt;=80,3,IF(G36&lt;=90,2,1)))))))))</f>
        <v>1</v>
      </c>
      <c r="I36" s="72">
        <f t="shared" si="2"/>
        <v>0.02</v>
      </c>
      <c r="J36" s="487"/>
    </row>
    <row r="37" spans="1:10" ht="15.75" thickBot="1" x14ac:dyDescent="0.3">
      <c r="A37" s="517"/>
      <c r="B37" s="474"/>
      <c r="C37" s="92">
        <v>30</v>
      </c>
      <c r="D37" s="243">
        <v>0.02</v>
      </c>
      <c r="E37" s="494"/>
      <c r="F37" s="156" t="s">
        <v>941</v>
      </c>
      <c r="G37" s="294">
        <f>'INDICATEURS FIN'!D90</f>
        <v>0</v>
      </c>
      <c r="H37" s="370">
        <f>IF(G37&lt;20,1,IF(G37&lt;40,2,IF(G37&lt;60,3,IF(G37&lt;80,4,IF(G37&lt;100,5,IF(G37&lt;120,6,IF(G37&lt;140,7,IF(G37&lt;160,8,IF(G37&lt;180,9,10)))))))))</f>
        <v>1</v>
      </c>
      <c r="I37" s="74">
        <f t="shared" si="2"/>
        <v>0.02</v>
      </c>
      <c r="J37" s="83">
        <f>SUM(I25:I37)</f>
        <v>1.93</v>
      </c>
    </row>
    <row r="38" spans="1:10" s="93" customFormat="1" ht="15.75" thickBot="1" x14ac:dyDescent="0.3">
      <c r="B38" s="253"/>
      <c r="D38" s="245"/>
      <c r="G38" s="94"/>
    </row>
    <row r="39" spans="1:10" ht="15" customHeight="1" x14ac:dyDescent="0.25">
      <c r="A39" s="513" t="s">
        <v>981</v>
      </c>
      <c r="B39" s="472">
        <v>0.25</v>
      </c>
      <c r="C39" s="91">
        <v>31</v>
      </c>
      <c r="D39" s="246">
        <v>0.05</v>
      </c>
      <c r="E39" s="511" t="s">
        <v>499</v>
      </c>
      <c r="F39" s="512"/>
      <c r="G39" s="99" t="s">
        <v>206</v>
      </c>
      <c r="H39" s="86">
        <f>IF(G39="","",VLOOKUP(G39,'tableaux annexes'!BK:BL,2,0))</f>
        <v>2</v>
      </c>
      <c r="I39" s="84">
        <f>+D39*H39</f>
        <v>0.1</v>
      </c>
      <c r="J39" s="479" t="s">
        <v>437</v>
      </c>
    </row>
    <row r="40" spans="1:10" ht="15" customHeight="1" x14ac:dyDescent="0.25">
      <c r="A40" s="514"/>
      <c r="B40" s="473"/>
      <c r="C40" s="89">
        <v>32</v>
      </c>
      <c r="D40" s="247">
        <v>0.05</v>
      </c>
      <c r="E40" s="497" t="s">
        <v>976</v>
      </c>
      <c r="F40" s="498"/>
      <c r="G40" s="100" t="s">
        <v>160</v>
      </c>
      <c r="H40" s="69">
        <f>IF(G40="","",VLOOKUP(G40,'tableaux annexes'!BO:BP,2,0))</f>
        <v>1</v>
      </c>
      <c r="I40" s="85">
        <f>+D40*H40</f>
        <v>0.05</v>
      </c>
      <c r="J40" s="480"/>
    </row>
    <row r="41" spans="1:10" ht="15.75" thickBot="1" x14ac:dyDescent="0.3">
      <c r="A41" s="514"/>
      <c r="B41" s="473"/>
      <c r="C41" s="98">
        <v>33</v>
      </c>
      <c r="D41" s="248">
        <v>0.05</v>
      </c>
      <c r="E41" s="470" t="s">
        <v>977</v>
      </c>
      <c r="F41" s="471"/>
      <c r="G41" s="101" t="s">
        <v>215</v>
      </c>
      <c r="H41" s="79">
        <f>IF(G41="","",VLOOKUP(G41,'tableaux annexes'!BS:BT,2,0))</f>
        <v>1</v>
      </c>
      <c r="I41" s="85">
        <f t="shared" ref="I41:I42" si="3">+D41*H41</f>
        <v>0.05</v>
      </c>
      <c r="J41" s="481"/>
    </row>
    <row r="42" spans="1:10" ht="15.75" thickBot="1" x14ac:dyDescent="0.3">
      <c r="A42" s="515"/>
      <c r="B42" s="474"/>
      <c r="C42" s="92">
        <v>34</v>
      </c>
      <c r="D42" s="249">
        <v>0.1</v>
      </c>
      <c r="E42" s="495" t="s">
        <v>978</v>
      </c>
      <c r="F42" s="496"/>
      <c r="G42" s="102" t="s">
        <v>225</v>
      </c>
      <c r="H42" s="95">
        <f>IF(G42="","",VLOOKUP(G42,'tableaux annexes'!BW:BX,2,0))</f>
        <v>1</v>
      </c>
      <c r="I42" s="85">
        <f t="shared" si="3"/>
        <v>0.1</v>
      </c>
      <c r="J42" s="83">
        <f>SUM(I39:I42)</f>
        <v>0.30000000000000004</v>
      </c>
    </row>
    <row r="43" spans="1:10" ht="19.5" thickBot="1" x14ac:dyDescent="0.35">
      <c r="A43" s="8"/>
      <c r="B43" s="250"/>
      <c r="C43" s="8"/>
      <c r="D43" s="250"/>
      <c r="E43" s="8"/>
      <c r="F43" s="8"/>
      <c r="G43" s="475" t="s">
        <v>443</v>
      </c>
      <c r="H43" s="476"/>
      <c r="I43" s="475" t="s">
        <v>444</v>
      </c>
      <c r="J43" s="476"/>
    </row>
    <row r="44" spans="1:10" ht="23.25" thickBot="1" x14ac:dyDescent="0.35">
      <c r="A44" s="81"/>
      <c r="B44" s="254"/>
      <c r="C44" s="82"/>
      <c r="D44" s="250"/>
      <c r="E44" s="8"/>
      <c r="F44" s="8"/>
      <c r="G44" s="488">
        <f>+J42+J37+J22+J11</f>
        <v>3.5649999999999999</v>
      </c>
      <c r="H44" s="489"/>
      <c r="I44" s="477" t="str">
        <f>IF(G44&lt;1.5,"SME1",IF(G44&lt;2.75,"SME2",IF(G44&lt;3.5,"SME3",IF(G44&lt;3.75,"SME4",IF(G44&lt;4,"SME4",IF(G44&lt;5,"SME5",IF(G44&lt;6,"SME6",IF(G44&lt;7,"SME7",IF(G44&lt;8,"SME7-",IF(G44&lt;9,"SME8",IF(G44&lt;9.7,"SME8-")))))))))))</f>
        <v>SME4</v>
      </c>
      <c r="J44" s="478"/>
    </row>
    <row r="45" spans="1:10" x14ac:dyDescent="0.25">
      <c r="B45" s="245"/>
    </row>
  </sheetData>
  <mergeCells count="47">
    <mergeCell ref="E39:F39"/>
    <mergeCell ref="A39:A42"/>
    <mergeCell ref="B39:B42"/>
    <mergeCell ref="A25:A26"/>
    <mergeCell ref="A27:A30"/>
    <mergeCell ref="A31:A34"/>
    <mergeCell ref="A35:A37"/>
    <mergeCell ref="E31:E34"/>
    <mergeCell ref="E27:E30"/>
    <mergeCell ref="E25:E26"/>
    <mergeCell ref="B25:B37"/>
    <mergeCell ref="J5:J10"/>
    <mergeCell ref="E6:F6"/>
    <mergeCell ref="E8:F8"/>
    <mergeCell ref="E14:F14"/>
    <mergeCell ref="E18:F18"/>
    <mergeCell ref="A5:A11"/>
    <mergeCell ref="E13:F13"/>
    <mergeCell ref="E5:F5"/>
    <mergeCell ref="E9:F9"/>
    <mergeCell ref="E7:F7"/>
    <mergeCell ref="E10:F10"/>
    <mergeCell ref="E11:F11"/>
    <mergeCell ref="A13:A22"/>
    <mergeCell ref="B13:B22"/>
    <mergeCell ref="I43:J43"/>
    <mergeCell ref="I44:J44"/>
    <mergeCell ref="J39:J41"/>
    <mergeCell ref="J13:J21"/>
    <mergeCell ref="E20:F20"/>
    <mergeCell ref="E22:F22"/>
    <mergeCell ref="J25:J36"/>
    <mergeCell ref="G43:H43"/>
    <mergeCell ref="G44:H44"/>
    <mergeCell ref="E21:F21"/>
    <mergeCell ref="E19:F19"/>
    <mergeCell ref="E24:F24"/>
    <mergeCell ref="E35:E37"/>
    <mergeCell ref="E42:F42"/>
    <mergeCell ref="E41:F41"/>
    <mergeCell ref="E40:F40"/>
    <mergeCell ref="B1:F1"/>
    <mergeCell ref="B2:E2"/>
    <mergeCell ref="E15:F15"/>
    <mergeCell ref="E16:F16"/>
    <mergeCell ref="E17:F17"/>
    <mergeCell ref="B5:B11"/>
  </mergeCells>
  <dataValidations count="21">
    <dataValidation type="list" allowBlank="1" showInputMessage="1" showErrorMessage="1" sqref="G5">
      <formula1>positionnement</formula1>
    </dataValidation>
    <dataValidation type="list" allowBlank="1" showInputMessage="1" showErrorMessage="1" sqref="G6">
      <formula1>tendance</formula1>
    </dataValidation>
    <dataValidation type="list" allowBlank="1" showInputMessage="1" showErrorMessage="1" sqref="G7">
      <formula1>marche</formula1>
    </dataValidation>
    <dataValidation type="list" allowBlank="1" showInputMessage="1" showErrorMessage="1" sqref="G8">
      <formula1>produit</formula1>
    </dataValidation>
    <dataValidation type="list" allowBlank="1" showInputMessage="1" showErrorMessage="1" sqref="G9">
      <formula1>pression</formula1>
    </dataValidation>
    <dataValidation type="list" allowBlank="1" showInputMessage="1" showErrorMessage="1" sqref="G10">
      <formula1>barriere</formula1>
    </dataValidation>
    <dataValidation type="list" allowBlank="1" showInputMessage="1" showErrorMessage="1" sqref="G11">
      <formula1>visibilite</formula1>
    </dataValidation>
    <dataValidation type="list" allowBlank="1" showInputMessage="1" showErrorMessage="1" sqref="G21">
      <formula1>qualite</formula1>
    </dataValidation>
    <dataValidation type="list" allowBlank="1" showInputMessage="1" showErrorMessage="1" sqref="G22">
      <formula1>succession</formula1>
    </dataValidation>
    <dataValidation type="list" allowBlank="1" showInputMessage="1" showErrorMessage="1" sqref="G20">
      <formula1>prevision</formula1>
    </dataValidation>
    <dataValidation type="list" allowBlank="1" showInputMessage="1" showErrorMessage="1" sqref="G19">
      <formula1>couts</formula1>
    </dataValidation>
    <dataValidation type="list" allowBlank="1" showInputMessage="1" showErrorMessage="1" sqref="G18">
      <formula1>adequation</formula1>
    </dataValidation>
    <dataValidation type="list" allowBlank="1" showInputMessage="1" showErrorMessage="1" sqref="G13">
      <formula1>Qualite_du_profil_du_dirigeant</formula1>
    </dataValidation>
    <dataValidation type="list" allowBlank="1" showInputMessage="1" showErrorMessage="1" sqref="G14">
      <formula1>Qualite_du_systeme_de_gouvernance</formula1>
    </dataValidation>
    <dataValidation type="list" allowBlank="1" showInputMessage="1" showErrorMessage="1" sqref="G15">
      <formula1>Qualite_du_systeme_d_information</formula1>
    </dataValidation>
    <dataValidation type="list" allowBlank="1" showInputMessage="1" showErrorMessage="1" sqref="G16">
      <formula1>Qualite_de_la_strategie</formula1>
    </dataValidation>
    <dataValidation type="list" allowBlank="1" showInputMessage="1" showErrorMessage="1" sqref="G17">
      <formula1>Qualite_des_moyens</formula1>
    </dataValidation>
    <dataValidation type="list" allowBlank="1" showInputMessage="1" showErrorMessage="1" sqref="G39">
      <formula1>Appreciation</formula1>
    </dataValidation>
    <dataValidation type="list" allowBlank="1" showInputMessage="1" showErrorMessage="1" sqref="G40">
      <formula1>Qualite_de_l_information</formula1>
    </dataValidation>
    <dataValidation type="list" allowBlank="1" showInputMessage="1" showErrorMessage="1" sqref="G41">
      <formula1>Soutien_du_dirigeant</formula1>
    </dataValidation>
    <dataValidation type="list" allowBlank="1" showInputMessage="1" showErrorMessage="1" sqref="G42">
      <formula1>Actifs_cessibles</formula1>
    </dataValidation>
  </dataValidations>
  <pageMargins left="0.7" right="0.7" top="0.75" bottom="0.75" header="0.3" footer="0.3"/>
  <pageSetup paperSize="9" scale="64" orientation="landscape" horizontalDpi="4294967292" r:id="rId1"/>
  <ignoredErrors>
    <ignoredError sqref="H3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showGridLines="0" topLeftCell="A59" workbookViewId="0">
      <selection activeCell="D79" sqref="D79"/>
    </sheetView>
  </sheetViews>
  <sheetFormatPr baseColWidth="10" defaultColWidth="2.28515625" defaultRowHeight="10.5" x14ac:dyDescent="0.15"/>
  <cols>
    <col min="1" max="1" width="18.7109375" style="296" customWidth="1"/>
    <col min="2" max="2" width="42.140625" style="296" customWidth="1"/>
    <col min="3" max="3" width="1.7109375" style="296" customWidth="1"/>
    <col min="4" max="4" width="13.7109375" style="296" customWidth="1"/>
    <col min="5" max="5" width="1.7109375" style="296" customWidth="1"/>
    <col min="6" max="6" width="13.7109375" style="296" customWidth="1"/>
    <col min="7" max="7" width="1.7109375" style="296" customWidth="1"/>
    <col min="8" max="8" width="7.7109375" style="296" customWidth="1"/>
    <col min="9" max="256" width="2.28515625" style="296"/>
    <col min="257" max="257" width="18.7109375" style="296" customWidth="1"/>
    <col min="258" max="258" width="42.140625" style="296" customWidth="1"/>
    <col min="259" max="259" width="1.7109375" style="296" customWidth="1"/>
    <col min="260" max="260" width="13.7109375" style="296" customWidth="1"/>
    <col min="261" max="261" width="1.7109375" style="296" customWidth="1"/>
    <col min="262" max="262" width="13.7109375" style="296" customWidth="1"/>
    <col min="263" max="263" width="1.7109375" style="296" customWidth="1"/>
    <col min="264" max="264" width="7.7109375" style="296" customWidth="1"/>
    <col min="265" max="512" width="2.28515625" style="296"/>
    <col min="513" max="513" width="18.7109375" style="296" customWidth="1"/>
    <col min="514" max="514" width="42.140625" style="296" customWidth="1"/>
    <col min="515" max="515" width="1.7109375" style="296" customWidth="1"/>
    <col min="516" max="516" width="13.7109375" style="296" customWidth="1"/>
    <col min="517" max="517" width="1.7109375" style="296" customWidth="1"/>
    <col min="518" max="518" width="13.7109375" style="296" customWidth="1"/>
    <col min="519" max="519" width="1.7109375" style="296" customWidth="1"/>
    <col min="520" max="520" width="7.7109375" style="296" customWidth="1"/>
    <col min="521" max="768" width="2.28515625" style="296"/>
    <col min="769" max="769" width="18.7109375" style="296" customWidth="1"/>
    <col min="770" max="770" width="42.140625" style="296" customWidth="1"/>
    <col min="771" max="771" width="1.7109375" style="296" customWidth="1"/>
    <col min="772" max="772" width="13.7109375" style="296" customWidth="1"/>
    <col min="773" max="773" width="1.7109375" style="296" customWidth="1"/>
    <col min="774" max="774" width="13.7109375" style="296" customWidth="1"/>
    <col min="775" max="775" width="1.7109375" style="296" customWidth="1"/>
    <col min="776" max="776" width="7.7109375" style="296" customWidth="1"/>
    <col min="777" max="1024" width="2.28515625" style="296"/>
    <col min="1025" max="1025" width="18.7109375" style="296" customWidth="1"/>
    <col min="1026" max="1026" width="42.140625" style="296" customWidth="1"/>
    <col min="1027" max="1027" width="1.7109375" style="296" customWidth="1"/>
    <col min="1028" max="1028" width="13.7109375" style="296" customWidth="1"/>
    <col min="1029" max="1029" width="1.7109375" style="296" customWidth="1"/>
    <col min="1030" max="1030" width="13.7109375" style="296" customWidth="1"/>
    <col min="1031" max="1031" width="1.7109375" style="296" customWidth="1"/>
    <col min="1032" max="1032" width="7.7109375" style="296" customWidth="1"/>
    <col min="1033" max="1280" width="2.28515625" style="296"/>
    <col min="1281" max="1281" width="18.7109375" style="296" customWidth="1"/>
    <col min="1282" max="1282" width="42.140625" style="296" customWidth="1"/>
    <col min="1283" max="1283" width="1.7109375" style="296" customWidth="1"/>
    <col min="1284" max="1284" width="13.7109375" style="296" customWidth="1"/>
    <col min="1285" max="1285" width="1.7109375" style="296" customWidth="1"/>
    <col min="1286" max="1286" width="13.7109375" style="296" customWidth="1"/>
    <col min="1287" max="1287" width="1.7109375" style="296" customWidth="1"/>
    <col min="1288" max="1288" width="7.7109375" style="296" customWidth="1"/>
    <col min="1289" max="1536" width="2.28515625" style="296"/>
    <col min="1537" max="1537" width="18.7109375" style="296" customWidth="1"/>
    <col min="1538" max="1538" width="42.140625" style="296" customWidth="1"/>
    <col min="1539" max="1539" width="1.7109375" style="296" customWidth="1"/>
    <col min="1540" max="1540" width="13.7109375" style="296" customWidth="1"/>
    <col min="1541" max="1541" width="1.7109375" style="296" customWidth="1"/>
    <col min="1542" max="1542" width="13.7109375" style="296" customWidth="1"/>
    <col min="1543" max="1543" width="1.7109375" style="296" customWidth="1"/>
    <col min="1544" max="1544" width="7.7109375" style="296" customWidth="1"/>
    <col min="1545" max="1792" width="2.28515625" style="296"/>
    <col min="1793" max="1793" width="18.7109375" style="296" customWidth="1"/>
    <col min="1794" max="1794" width="42.140625" style="296" customWidth="1"/>
    <col min="1795" max="1795" width="1.7109375" style="296" customWidth="1"/>
    <col min="1796" max="1796" width="13.7109375" style="296" customWidth="1"/>
    <col min="1797" max="1797" width="1.7109375" style="296" customWidth="1"/>
    <col min="1798" max="1798" width="13.7109375" style="296" customWidth="1"/>
    <col min="1799" max="1799" width="1.7109375" style="296" customWidth="1"/>
    <col min="1800" max="1800" width="7.7109375" style="296" customWidth="1"/>
    <col min="1801" max="2048" width="2.28515625" style="296"/>
    <col min="2049" max="2049" width="18.7109375" style="296" customWidth="1"/>
    <col min="2050" max="2050" width="42.140625" style="296" customWidth="1"/>
    <col min="2051" max="2051" width="1.7109375" style="296" customWidth="1"/>
    <col min="2052" max="2052" width="13.7109375" style="296" customWidth="1"/>
    <col min="2053" max="2053" width="1.7109375" style="296" customWidth="1"/>
    <col min="2054" max="2054" width="13.7109375" style="296" customWidth="1"/>
    <col min="2055" max="2055" width="1.7109375" style="296" customWidth="1"/>
    <col min="2056" max="2056" width="7.7109375" style="296" customWidth="1"/>
    <col min="2057" max="2304" width="2.28515625" style="296"/>
    <col min="2305" max="2305" width="18.7109375" style="296" customWidth="1"/>
    <col min="2306" max="2306" width="42.140625" style="296" customWidth="1"/>
    <col min="2307" max="2307" width="1.7109375" style="296" customWidth="1"/>
    <col min="2308" max="2308" width="13.7109375" style="296" customWidth="1"/>
    <col min="2309" max="2309" width="1.7109375" style="296" customWidth="1"/>
    <col min="2310" max="2310" width="13.7109375" style="296" customWidth="1"/>
    <col min="2311" max="2311" width="1.7109375" style="296" customWidth="1"/>
    <col min="2312" max="2312" width="7.7109375" style="296" customWidth="1"/>
    <col min="2313" max="2560" width="2.28515625" style="296"/>
    <col min="2561" max="2561" width="18.7109375" style="296" customWidth="1"/>
    <col min="2562" max="2562" width="42.140625" style="296" customWidth="1"/>
    <col min="2563" max="2563" width="1.7109375" style="296" customWidth="1"/>
    <col min="2564" max="2564" width="13.7109375" style="296" customWidth="1"/>
    <col min="2565" max="2565" width="1.7109375" style="296" customWidth="1"/>
    <col min="2566" max="2566" width="13.7109375" style="296" customWidth="1"/>
    <col min="2567" max="2567" width="1.7109375" style="296" customWidth="1"/>
    <col min="2568" max="2568" width="7.7109375" style="296" customWidth="1"/>
    <col min="2569" max="2816" width="2.28515625" style="296"/>
    <col min="2817" max="2817" width="18.7109375" style="296" customWidth="1"/>
    <col min="2818" max="2818" width="42.140625" style="296" customWidth="1"/>
    <col min="2819" max="2819" width="1.7109375" style="296" customWidth="1"/>
    <col min="2820" max="2820" width="13.7109375" style="296" customWidth="1"/>
    <col min="2821" max="2821" width="1.7109375" style="296" customWidth="1"/>
    <col min="2822" max="2822" width="13.7109375" style="296" customWidth="1"/>
    <col min="2823" max="2823" width="1.7109375" style="296" customWidth="1"/>
    <col min="2824" max="2824" width="7.7109375" style="296" customWidth="1"/>
    <col min="2825" max="3072" width="2.28515625" style="296"/>
    <col min="3073" max="3073" width="18.7109375" style="296" customWidth="1"/>
    <col min="3074" max="3074" width="42.140625" style="296" customWidth="1"/>
    <col min="3075" max="3075" width="1.7109375" style="296" customWidth="1"/>
    <col min="3076" max="3076" width="13.7109375" style="296" customWidth="1"/>
    <col min="3077" max="3077" width="1.7109375" style="296" customWidth="1"/>
    <col min="3078" max="3078" width="13.7109375" style="296" customWidth="1"/>
    <col min="3079" max="3079" width="1.7109375" style="296" customWidth="1"/>
    <col min="3080" max="3080" width="7.7109375" style="296" customWidth="1"/>
    <col min="3081" max="3328" width="2.28515625" style="296"/>
    <col min="3329" max="3329" width="18.7109375" style="296" customWidth="1"/>
    <col min="3330" max="3330" width="42.140625" style="296" customWidth="1"/>
    <col min="3331" max="3331" width="1.7109375" style="296" customWidth="1"/>
    <col min="3332" max="3332" width="13.7109375" style="296" customWidth="1"/>
    <col min="3333" max="3333" width="1.7109375" style="296" customWidth="1"/>
    <col min="3334" max="3334" width="13.7109375" style="296" customWidth="1"/>
    <col min="3335" max="3335" width="1.7109375" style="296" customWidth="1"/>
    <col min="3336" max="3336" width="7.7109375" style="296" customWidth="1"/>
    <col min="3337" max="3584" width="2.28515625" style="296"/>
    <col min="3585" max="3585" width="18.7109375" style="296" customWidth="1"/>
    <col min="3586" max="3586" width="42.140625" style="296" customWidth="1"/>
    <col min="3587" max="3587" width="1.7109375" style="296" customWidth="1"/>
    <col min="3588" max="3588" width="13.7109375" style="296" customWidth="1"/>
    <col min="3589" max="3589" width="1.7109375" style="296" customWidth="1"/>
    <col min="3590" max="3590" width="13.7109375" style="296" customWidth="1"/>
    <col min="3591" max="3591" width="1.7109375" style="296" customWidth="1"/>
    <col min="3592" max="3592" width="7.7109375" style="296" customWidth="1"/>
    <col min="3593" max="3840" width="2.28515625" style="296"/>
    <col min="3841" max="3841" width="18.7109375" style="296" customWidth="1"/>
    <col min="3842" max="3842" width="42.140625" style="296" customWidth="1"/>
    <col min="3843" max="3843" width="1.7109375" style="296" customWidth="1"/>
    <col min="3844" max="3844" width="13.7109375" style="296" customWidth="1"/>
    <col min="3845" max="3845" width="1.7109375" style="296" customWidth="1"/>
    <col min="3846" max="3846" width="13.7109375" style="296" customWidth="1"/>
    <col min="3847" max="3847" width="1.7109375" style="296" customWidth="1"/>
    <col min="3848" max="3848" width="7.7109375" style="296" customWidth="1"/>
    <col min="3849" max="4096" width="2.28515625" style="296"/>
    <col min="4097" max="4097" width="18.7109375" style="296" customWidth="1"/>
    <col min="4098" max="4098" width="42.140625" style="296" customWidth="1"/>
    <col min="4099" max="4099" width="1.7109375" style="296" customWidth="1"/>
    <col min="4100" max="4100" width="13.7109375" style="296" customWidth="1"/>
    <col min="4101" max="4101" width="1.7109375" style="296" customWidth="1"/>
    <col min="4102" max="4102" width="13.7109375" style="296" customWidth="1"/>
    <col min="4103" max="4103" width="1.7109375" style="296" customWidth="1"/>
    <col min="4104" max="4104" width="7.7109375" style="296" customWidth="1"/>
    <col min="4105" max="4352" width="2.28515625" style="296"/>
    <col min="4353" max="4353" width="18.7109375" style="296" customWidth="1"/>
    <col min="4354" max="4354" width="42.140625" style="296" customWidth="1"/>
    <col min="4355" max="4355" width="1.7109375" style="296" customWidth="1"/>
    <col min="4356" max="4356" width="13.7109375" style="296" customWidth="1"/>
    <col min="4357" max="4357" width="1.7109375" style="296" customWidth="1"/>
    <col min="4358" max="4358" width="13.7109375" style="296" customWidth="1"/>
    <col min="4359" max="4359" width="1.7109375" style="296" customWidth="1"/>
    <col min="4360" max="4360" width="7.7109375" style="296" customWidth="1"/>
    <col min="4361" max="4608" width="2.28515625" style="296"/>
    <col min="4609" max="4609" width="18.7109375" style="296" customWidth="1"/>
    <col min="4610" max="4610" width="42.140625" style="296" customWidth="1"/>
    <col min="4611" max="4611" width="1.7109375" style="296" customWidth="1"/>
    <col min="4612" max="4612" width="13.7109375" style="296" customWidth="1"/>
    <col min="4613" max="4613" width="1.7109375" style="296" customWidth="1"/>
    <col min="4614" max="4614" width="13.7109375" style="296" customWidth="1"/>
    <col min="4615" max="4615" width="1.7109375" style="296" customWidth="1"/>
    <col min="4616" max="4616" width="7.7109375" style="296" customWidth="1"/>
    <col min="4617" max="4864" width="2.28515625" style="296"/>
    <col min="4865" max="4865" width="18.7109375" style="296" customWidth="1"/>
    <col min="4866" max="4866" width="42.140625" style="296" customWidth="1"/>
    <col min="4867" max="4867" width="1.7109375" style="296" customWidth="1"/>
    <col min="4868" max="4868" width="13.7109375" style="296" customWidth="1"/>
    <col min="4869" max="4869" width="1.7109375" style="296" customWidth="1"/>
    <col min="4870" max="4870" width="13.7109375" style="296" customWidth="1"/>
    <col min="4871" max="4871" width="1.7109375" style="296" customWidth="1"/>
    <col min="4872" max="4872" width="7.7109375" style="296" customWidth="1"/>
    <col min="4873" max="5120" width="2.28515625" style="296"/>
    <col min="5121" max="5121" width="18.7109375" style="296" customWidth="1"/>
    <col min="5122" max="5122" width="42.140625" style="296" customWidth="1"/>
    <col min="5123" max="5123" width="1.7109375" style="296" customWidth="1"/>
    <col min="5124" max="5124" width="13.7109375" style="296" customWidth="1"/>
    <col min="5125" max="5125" width="1.7109375" style="296" customWidth="1"/>
    <col min="5126" max="5126" width="13.7109375" style="296" customWidth="1"/>
    <col min="5127" max="5127" width="1.7109375" style="296" customWidth="1"/>
    <col min="5128" max="5128" width="7.7109375" style="296" customWidth="1"/>
    <col min="5129" max="5376" width="2.28515625" style="296"/>
    <col min="5377" max="5377" width="18.7109375" style="296" customWidth="1"/>
    <col min="5378" max="5378" width="42.140625" style="296" customWidth="1"/>
    <col min="5379" max="5379" width="1.7109375" style="296" customWidth="1"/>
    <col min="5380" max="5380" width="13.7109375" style="296" customWidth="1"/>
    <col min="5381" max="5381" width="1.7109375" style="296" customWidth="1"/>
    <col min="5382" max="5382" width="13.7109375" style="296" customWidth="1"/>
    <col min="5383" max="5383" width="1.7109375" style="296" customWidth="1"/>
    <col min="5384" max="5384" width="7.7109375" style="296" customWidth="1"/>
    <col min="5385" max="5632" width="2.28515625" style="296"/>
    <col min="5633" max="5633" width="18.7109375" style="296" customWidth="1"/>
    <col min="5634" max="5634" width="42.140625" style="296" customWidth="1"/>
    <col min="5635" max="5635" width="1.7109375" style="296" customWidth="1"/>
    <col min="5636" max="5636" width="13.7109375" style="296" customWidth="1"/>
    <col min="5637" max="5637" width="1.7109375" style="296" customWidth="1"/>
    <col min="5638" max="5638" width="13.7109375" style="296" customWidth="1"/>
    <col min="5639" max="5639" width="1.7109375" style="296" customWidth="1"/>
    <col min="5640" max="5640" width="7.7109375" style="296" customWidth="1"/>
    <col min="5641" max="5888" width="2.28515625" style="296"/>
    <col min="5889" max="5889" width="18.7109375" style="296" customWidth="1"/>
    <col min="5890" max="5890" width="42.140625" style="296" customWidth="1"/>
    <col min="5891" max="5891" width="1.7109375" style="296" customWidth="1"/>
    <col min="5892" max="5892" width="13.7109375" style="296" customWidth="1"/>
    <col min="5893" max="5893" width="1.7109375" style="296" customWidth="1"/>
    <col min="5894" max="5894" width="13.7109375" style="296" customWidth="1"/>
    <col min="5895" max="5895" width="1.7109375" style="296" customWidth="1"/>
    <col min="5896" max="5896" width="7.7109375" style="296" customWidth="1"/>
    <col min="5897" max="6144" width="2.28515625" style="296"/>
    <col min="6145" max="6145" width="18.7109375" style="296" customWidth="1"/>
    <col min="6146" max="6146" width="42.140625" style="296" customWidth="1"/>
    <col min="6147" max="6147" width="1.7109375" style="296" customWidth="1"/>
    <col min="6148" max="6148" width="13.7109375" style="296" customWidth="1"/>
    <col min="6149" max="6149" width="1.7109375" style="296" customWidth="1"/>
    <col min="6150" max="6150" width="13.7109375" style="296" customWidth="1"/>
    <col min="6151" max="6151" width="1.7109375" style="296" customWidth="1"/>
    <col min="6152" max="6152" width="7.7109375" style="296" customWidth="1"/>
    <col min="6153" max="6400" width="2.28515625" style="296"/>
    <col min="6401" max="6401" width="18.7109375" style="296" customWidth="1"/>
    <col min="6402" max="6402" width="42.140625" style="296" customWidth="1"/>
    <col min="6403" max="6403" width="1.7109375" style="296" customWidth="1"/>
    <col min="6404" max="6404" width="13.7109375" style="296" customWidth="1"/>
    <col min="6405" max="6405" width="1.7109375" style="296" customWidth="1"/>
    <col min="6406" max="6406" width="13.7109375" style="296" customWidth="1"/>
    <col min="6407" max="6407" width="1.7109375" style="296" customWidth="1"/>
    <col min="6408" max="6408" width="7.7109375" style="296" customWidth="1"/>
    <col min="6409" max="6656" width="2.28515625" style="296"/>
    <col min="6657" max="6657" width="18.7109375" style="296" customWidth="1"/>
    <col min="6658" max="6658" width="42.140625" style="296" customWidth="1"/>
    <col min="6659" max="6659" width="1.7109375" style="296" customWidth="1"/>
    <col min="6660" max="6660" width="13.7109375" style="296" customWidth="1"/>
    <col min="6661" max="6661" width="1.7109375" style="296" customWidth="1"/>
    <col min="6662" max="6662" width="13.7109375" style="296" customWidth="1"/>
    <col min="6663" max="6663" width="1.7109375" style="296" customWidth="1"/>
    <col min="6664" max="6664" width="7.7109375" style="296" customWidth="1"/>
    <col min="6665" max="6912" width="2.28515625" style="296"/>
    <col min="6913" max="6913" width="18.7109375" style="296" customWidth="1"/>
    <col min="6914" max="6914" width="42.140625" style="296" customWidth="1"/>
    <col min="6915" max="6915" width="1.7109375" style="296" customWidth="1"/>
    <col min="6916" max="6916" width="13.7109375" style="296" customWidth="1"/>
    <col min="6917" max="6917" width="1.7109375" style="296" customWidth="1"/>
    <col min="6918" max="6918" width="13.7109375" style="296" customWidth="1"/>
    <col min="6919" max="6919" width="1.7109375" style="296" customWidth="1"/>
    <col min="6920" max="6920" width="7.7109375" style="296" customWidth="1"/>
    <col min="6921" max="7168" width="2.28515625" style="296"/>
    <col min="7169" max="7169" width="18.7109375" style="296" customWidth="1"/>
    <col min="7170" max="7170" width="42.140625" style="296" customWidth="1"/>
    <col min="7171" max="7171" width="1.7109375" style="296" customWidth="1"/>
    <col min="7172" max="7172" width="13.7109375" style="296" customWidth="1"/>
    <col min="7173" max="7173" width="1.7109375" style="296" customWidth="1"/>
    <col min="7174" max="7174" width="13.7109375" style="296" customWidth="1"/>
    <col min="7175" max="7175" width="1.7109375" style="296" customWidth="1"/>
    <col min="7176" max="7176" width="7.7109375" style="296" customWidth="1"/>
    <col min="7177" max="7424" width="2.28515625" style="296"/>
    <col min="7425" max="7425" width="18.7109375" style="296" customWidth="1"/>
    <col min="7426" max="7426" width="42.140625" style="296" customWidth="1"/>
    <col min="7427" max="7427" width="1.7109375" style="296" customWidth="1"/>
    <col min="7428" max="7428" width="13.7109375" style="296" customWidth="1"/>
    <col min="7429" max="7429" width="1.7109375" style="296" customWidth="1"/>
    <col min="7430" max="7430" width="13.7109375" style="296" customWidth="1"/>
    <col min="7431" max="7431" width="1.7109375" style="296" customWidth="1"/>
    <col min="7432" max="7432" width="7.7109375" style="296" customWidth="1"/>
    <col min="7433" max="7680" width="2.28515625" style="296"/>
    <col min="7681" max="7681" width="18.7109375" style="296" customWidth="1"/>
    <col min="7682" max="7682" width="42.140625" style="296" customWidth="1"/>
    <col min="7683" max="7683" width="1.7109375" style="296" customWidth="1"/>
    <col min="7684" max="7684" width="13.7109375" style="296" customWidth="1"/>
    <col min="7685" max="7685" width="1.7109375" style="296" customWidth="1"/>
    <col min="7686" max="7686" width="13.7109375" style="296" customWidth="1"/>
    <col min="7687" max="7687" width="1.7109375" style="296" customWidth="1"/>
    <col min="7688" max="7688" width="7.7109375" style="296" customWidth="1"/>
    <col min="7689" max="7936" width="2.28515625" style="296"/>
    <col min="7937" max="7937" width="18.7109375" style="296" customWidth="1"/>
    <col min="7938" max="7938" width="42.140625" style="296" customWidth="1"/>
    <col min="7939" max="7939" width="1.7109375" style="296" customWidth="1"/>
    <col min="7940" max="7940" width="13.7109375" style="296" customWidth="1"/>
    <col min="7941" max="7941" width="1.7109375" style="296" customWidth="1"/>
    <col min="7942" max="7942" width="13.7109375" style="296" customWidth="1"/>
    <col min="7943" max="7943" width="1.7109375" style="296" customWidth="1"/>
    <col min="7944" max="7944" width="7.7109375" style="296" customWidth="1"/>
    <col min="7945" max="8192" width="2.28515625" style="296"/>
    <col min="8193" max="8193" width="18.7109375" style="296" customWidth="1"/>
    <col min="8194" max="8194" width="42.140625" style="296" customWidth="1"/>
    <col min="8195" max="8195" width="1.7109375" style="296" customWidth="1"/>
    <col min="8196" max="8196" width="13.7109375" style="296" customWidth="1"/>
    <col min="8197" max="8197" width="1.7109375" style="296" customWidth="1"/>
    <col min="8198" max="8198" width="13.7109375" style="296" customWidth="1"/>
    <col min="8199" max="8199" width="1.7109375" style="296" customWidth="1"/>
    <col min="8200" max="8200" width="7.7109375" style="296" customWidth="1"/>
    <col min="8201" max="8448" width="2.28515625" style="296"/>
    <col min="8449" max="8449" width="18.7109375" style="296" customWidth="1"/>
    <col min="8450" max="8450" width="42.140625" style="296" customWidth="1"/>
    <col min="8451" max="8451" width="1.7109375" style="296" customWidth="1"/>
    <col min="8452" max="8452" width="13.7109375" style="296" customWidth="1"/>
    <col min="8453" max="8453" width="1.7109375" style="296" customWidth="1"/>
    <col min="8454" max="8454" width="13.7109375" style="296" customWidth="1"/>
    <col min="8455" max="8455" width="1.7109375" style="296" customWidth="1"/>
    <col min="8456" max="8456" width="7.7109375" style="296" customWidth="1"/>
    <col min="8457" max="8704" width="2.28515625" style="296"/>
    <col min="8705" max="8705" width="18.7109375" style="296" customWidth="1"/>
    <col min="8706" max="8706" width="42.140625" style="296" customWidth="1"/>
    <col min="8707" max="8707" width="1.7109375" style="296" customWidth="1"/>
    <col min="8708" max="8708" width="13.7109375" style="296" customWidth="1"/>
    <col min="8709" max="8709" width="1.7109375" style="296" customWidth="1"/>
    <col min="8710" max="8710" width="13.7109375" style="296" customWidth="1"/>
    <col min="8711" max="8711" width="1.7109375" style="296" customWidth="1"/>
    <col min="8712" max="8712" width="7.7109375" style="296" customWidth="1"/>
    <col min="8713" max="8960" width="2.28515625" style="296"/>
    <col min="8961" max="8961" width="18.7109375" style="296" customWidth="1"/>
    <col min="8962" max="8962" width="42.140625" style="296" customWidth="1"/>
    <col min="8963" max="8963" width="1.7109375" style="296" customWidth="1"/>
    <col min="8964" max="8964" width="13.7109375" style="296" customWidth="1"/>
    <col min="8965" max="8965" width="1.7109375" style="296" customWidth="1"/>
    <col min="8966" max="8966" width="13.7109375" style="296" customWidth="1"/>
    <col min="8967" max="8967" width="1.7109375" style="296" customWidth="1"/>
    <col min="8968" max="8968" width="7.7109375" style="296" customWidth="1"/>
    <col min="8969" max="9216" width="2.28515625" style="296"/>
    <col min="9217" max="9217" width="18.7109375" style="296" customWidth="1"/>
    <col min="9218" max="9218" width="42.140625" style="296" customWidth="1"/>
    <col min="9219" max="9219" width="1.7109375" style="296" customWidth="1"/>
    <col min="9220" max="9220" width="13.7109375" style="296" customWidth="1"/>
    <col min="9221" max="9221" width="1.7109375" style="296" customWidth="1"/>
    <col min="9222" max="9222" width="13.7109375" style="296" customWidth="1"/>
    <col min="9223" max="9223" width="1.7109375" style="296" customWidth="1"/>
    <col min="9224" max="9224" width="7.7109375" style="296" customWidth="1"/>
    <col min="9225" max="9472" width="2.28515625" style="296"/>
    <col min="9473" max="9473" width="18.7109375" style="296" customWidth="1"/>
    <col min="9474" max="9474" width="42.140625" style="296" customWidth="1"/>
    <col min="9475" max="9475" width="1.7109375" style="296" customWidth="1"/>
    <col min="9476" max="9476" width="13.7109375" style="296" customWidth="1"/>
    <col min="9477" max="9477" width="1.7109375" style="296" customWidth="1"/>
    <col min="9478" max="9478" width="13.7109375" style="296" customWidth="1"/>
    <col min="9479" max="9479" width="1.7109375" style="296" customWidth="1"/>
    <col min="9480" max="9480" width="7.7109375" style="296" customWidth="1"/>
    <col min="9481" max="9728" width="2.28515625" style="296"/>
    <col min="9729" max="9729" width="18.7109375" style="296" customWidth="1"/>
    <col min="9730" max="9730" width="42.140625" style="296" customWidth="1"/>
    <col min="9731" max="9731" width="1.7109375" style="296" customWidth="1"/>
    <col min="9732" max="9732" width="13.7109375" style="296" customWidth="1"/>
    <col min="9733" max="9733" width="1.7109375" style="296" customWidth="1"/>
    <col min="9734" max="9734" width="13.7109375" style="296" customWidth="1"/>
    <col min="9735" max="9735" width="1.7109375" style="296" customWidth="1"/>
    <col min="9736" max="9736" width="7.7109375" style="296" customWidth="1"/>
    <col min="9737" max="9984" width="2.28515625" style="296"/>
    <col min="9985" max="9985" width="18.7109375" style="296" customWidth="1"/>
    <col min="9986" max="9986" width="42.140625" style="296" customWidth="1"/>
    <col min="9987" max="9987" width="1.7109375" style="296" customWidth="1"/>
    <col min="9988" max="9988" width="13.7109375" style="296" customWidth="1"/>
    <col min="9989" max="9989" width="1.7109375" style="296" customWidth="1"/>
    <col min="9990" max="9990" width="13.7109375" style="296" customWidth="1"/>
    <col min="9991" max="9991" width="1.7109375" style="296" customWidth="1"/>
    <col min="9992" max="9992" width="7.7109375" style="296" customWidth="1"/>
    <col min="9993" max="10240" width="2.28515625" style="296"/>
    <col min="10241" max="10241" width="18.7109375" style="296" customWidth="1"/>
    <col min="10242" max="10242" width="42.140625" style="296" customWidth="1"/>
    <col min="10243" max="10243" width="1.7109375" style="296" customWidth="1"/>
    <col min="10244" max="10244" width="13.7109375" style="296" customWidth="1"/>
    <col min="10245" max="10245" width="1.7109375" style="296" customWidth="1"/>
    <col min="10246" max="10246" width="13.7109375" style="296" customWidth="1"/>
    <col min="10247" max="10247" width="1.7109375" style="296" customWidth="1"/>
    <col min="10248" max="10248" width="7.7109375" style="296" customWidth="1"/>
    <col min="10249" max="10496" width="2.28515625" style="296"/>
    <col min="10497" max="10497" width="18.7109375" style="296" customWidth="1"/>
    <col min="10498" max="10498" width="42.140625" style="296" customWidth="1"/>
    <col min="10499" max="10499" width="1.7109375" style="296" customWidth="1"/>
    <col min="10500" max="10500" width="13.7109375" style="296" customWidth="1"/>
    <col min="10501" max="10501" width="1.7109375" style="296" customWidth="1"/>
    <col min="10502" max="10502" width="13.7109375" style="296" customWidth="1"/>
    <col min="10503" max="10503" width="1.7109375" style="296" customWidth="1"/>
    <col min="10504" max="10504" width="7.7109375" style="296" customWidth="1"/>
    <col min="10505" max="10752" width="2.28515625" style="296"/>
    <col min="10753" max="10753" width="18.7109375" style="296" customWidth="1"/>
    <col min="10754" max="10754" width="42.140625" style="296" customWidth="1"/>
    <col min="10755" max="10755" width="1.7109375" style="296" customWidth="1"/>
    <col min="10756" max="10756" width="13.7109375" style="296" customWidth="1"/>
    <col min="10757" max="10757" width="1.7109375" style="296" customWidth="1"/>
    <col min="10758" max="10758" width="13.7109375" style="296" customWidth="1"/>
    <col min="10759" max="10759" width="1.7109375" style="296" customWidth="1"/>
    <col min="10760" max="10760" width="7.7109375" style="296" customWidth="1"/>
    <col min="10761" max="11008" width="2.28515625" style="296"/>
    <col min="11009" max="11009" width="18.7109375" style="296" customWidth="1"/>
    <col min="11010" max="11010" width="42.140625" style="296" customWidth="1"/>
    <col min="11011" max="11011" width="1.7109375" style="296" customWidth="1"/>
    <col min="11012" max="11012" width="13.7109375" style="296" customWidth="1"/>
    <col min="11013" max="11013" width="1.7109375" style="296" customWidth="1"/>
    <col min="11014" max="11014" width="13.7109375" style="296" customWidth="1"/>
    <col min="11015" max="11015" width="1.7109375" style="296" customWidth="1"/>
    <col min="11016" max="11016" width="7.7109375" style="296" customWidth="1"/>
    <col min="11017" max="11264" width="2.28515625" style="296"/>
    <col min="11265" max="11265" width="18.7109375" style="296" customWidth="1"/>
    <col min="11266" max="11266" width="42.140625" style="296" customWidth="1"/>
    <col min="11267" max="11267" width="1.7109375" style="296" customWidth="1"/>
    <col min="11268" max="11268" width="13.7109375" style="296" customWidth="1"/>
    <col min="11269" max="11269" width="1.7109375" style="296" customWidth="1"/>
    <col min="11270" max="11270" width="13.7109375" style="296" customWidth="1"/>
    <col min="11271" max="11271" width="1.7109375" style="296" customWidth="1"/>
    <col min="11272" max="11272" width="7.7109375" style="296" customWidth="1"/>
    <col min="11273" max="11520" width="2.28515625" style="296"/>
    <col min="11521" max="11521" width="18.7109375" style="296" customWidth="1"/>
    <col min="11522" max="11522" width="42.140625" style="296" customWidth="1"/>
    <col min="11523" max="11523" width="1.7109375" style="296" customWidth="1"/>
    <col min="11524" max="11524" width="13.7109375" style="296" customWidth="1"/>
    <col min="11525" max="11525" width="1.7109375" style="296" customWidth="1"/>
    <col min="11526" max="11526" width="13.7109375" style="296" customWidth="1"/>
    <col min="11527" max="11527" width="1.7109375" style="296" customWidth="1"/>
    <col min="11528" max="11528" width="7.7109375" style="296" customWidth="1"/>
    <col min="11529" max="11776" width="2.28515625" style="296"/>
    <col min="11777" max="11777" width="18.7109375" style="296" customWidth="1"/>
    <col min="11778" max="11778" width="42.140625" style="296" customWidth="1"/>
    <col min="11779" max="11779" width="1.7109375" style="296" customWidth="1"/>
    <col min="11780" max="11780" width="13.7109375" style="296" customWidth="1"/>
    <col min="11781" max="11781" width="1.7109375" style="296" customWidth="1"/>
    <col min="11782" max="11782" width="13.7109375" style="296" customWidth="1"/>
    <col min="11783" max="11783" width="1.7109375" style="296" customWidth="1"/>
    <col min="11784" max="11784" width="7.7109375" style="296" customWidth="1"/>
    <col min="11785" max="12032" width="2.28515625" style="296"/>
    <col min="12033" max="12033" width="18.7109375" style="296" customWidth="1"/>
    <col min="12034" max="12034" width="42.140625" style="296" customWidth="1"/>
    <col min="12035" max="12035" width="1.7109375" style="296" customWidth="1"/>
    <col min="12036" max="12036" width="13.7109375" style="296" customWidth="1"/>
    <col min="12037" max="12037" width="1.7109375" style="296" customWidth="1"/>
    <col min="12038" max="12038" width="13.7109375" style="296" customWidth="1"/>
    <col min="12039" max="12039" width="1.7109375" style="296" customWidth="1"/>
    <col min="12040" max="12040" width="7.7109375" style="296" customWidth="1"/>
    <col min="12041" max="12288" width="2.28515625" style="296"/>
    <col min="12289" max="12289" width="18.7109375" style="296" customWidth="1"/>
    <col min="12290" max="12290" width="42.140625" style="296" customWidth="1"/>
    <col min="12291" max="12291" width="1.7109375" style="296" customWidth="1"/>
    <col min="12292" max="12292" width="13.7109375" style="296" customWidth="1"/>
    <col min="12293" max="12293" width="1.7109375" style="296" customWidth="1"/>
    <col min="12294" max="12294" width="13.7109375" style="296" customWidth="1"/>
    <col min="12295" max="12295" width="1.7109375" style="296" customWidth="1"/>
    <col min="12296" max="12296" width="7.7109375" style="296" customWidth="1"/>
    <col min="12297" max="12544" width="2.28515625" style="296"/>
    <col min="12545" max="12545" width="18.7109375" style="296" customWidth="1"/>
    <col min="12546" max="12546" width="42.140625" style="296" customWidth="1"/>
    <col min="12547" max="12547" width="1.7109375" style="296" customWidth="1"/>
    <col min="12548" max="12548" width="13.7109375" style="296" customWidth="1"/>
    <col min="12549" max="12549" width="1.7109375" style="296" customWidth="1"/>
    <col min="12550" max="12550" width="13.7109375" style="296" customWidth="1"/>
    <col min="12551" max="12551" width="1.7109375" style="296" customWidth="1"/>
    <col min="12552" max="12552" width="7.7109375" style="296" customWidth="1"/>
    <col min="12553" max="12800" width="2.28515625" style="296"/>
    <col min="12801" max="12801" width="18.7109375" style="296" customWidth="1"/>
    <col min="12802" max="12802" width="42.140625" style="296" customWidth="1"/>
    <col min="12803" max="12803" width="1.7109375" style="296" customWidth="1"/>
    <col min="12804" max="12804" width="13.7109375" style="296" customWidth="1"/>
    <col min="12805" max="12805" width="1.7109375" style="296" customWidth="1"/>
    <col min="12806" max="12806" width="13.7109375" style="296" customWidth="1"/>
    <col min="12807" max="12807" width="1.7109375" style="296" customWidth="1"/>
    <col min="12808" max="12808" width="7.7109375" style="296" customWidth="1"/>
    <col min="12809" max="13056" width="2.28515625" style="296"/>
    <col min="13057" max="13057" width="18.7109375" style="296" customWidth="1"/>
    <col min="13058" max="13058" width="42.140625" style="296" customWidth="1"/>
    <col min="13059" max="13059" width="1.7109375" style="296" customWidth="1"/>
    <col min="13060" max="13060" width="13.7109375" style="296" customWidth="1"/>
    <col min="13061" max="13061" width="1.7109375" style="296" customWidth="1"/>
    <col min="13062" max="13062" width="13.7109375" style="296" customWidth="1"/>
    <col min="13063" max="13063" width="1.7109375" style="296" customWidth="1"/>
    <col min="13064" max="13064" width="7.7109375" style="296" customWidth="1"/>
    <col min="13065" max="13312" width="2.28515625" style="296"/>
    <col min="13313" max="13313" width="18.7109375" style="296" customWidth="1"/>
    <col min="13314" max="13314" width="42.140625" style="296" customWidth="1"/>
    <col min="13315" max="13315" width="1.7109375" style="296" customWidth="1"/>
    <col min="13316" max="13316" width="13.7109375" style="296" customWidth="1"/>
    <col min="13317" max="13317" width="1.7109375" style="296" customWidth="1"/>
    <col min="13318" max="13318" width="13.7109375" style="296" customWidth="1"/>
    <col min="13319" max="13319" width="1.7109375" style="296" customWidth="1"/>
    <col min="13320" max="13320" width="7.7109375" style="296" customWidth="1"/>
    <col min="13321" max="13568" width="2.28515625" style="296"/>
    <col min="13569" max="13569" width="18.7109375" style="296" customWidth="1"/>
    <col min="13570" max="13570" width="42.140625" style="296" customWidth="1"/>
    <col min="13571" max="13571" width="1.7109375" style="296" customWidth="1"/>
    <col min="13572" max="13572" width="13.7109375" style="296" customWidth="1"/>
    <col min="13573" max="13573" width="1.7109375" style="296" customWidth="1"/>
    <col min="13574" max="13574" width="13.7109375" style="296" customWidth="1"/>
    <col min="13575" max="13575" width="1.7109375" style="296" customWidth="1"/>
    <col min="13576" max="13576" width="7.7109375" style="296" customWidth="1"/>
    <col min="13577" max="13824" width="2.28515625" style="296"/>
    <col min="13825" max="13825" width="18.7109375" style="296" customWidth="1"/>
    <col min="13826" max="13826" width="42.140625" style="296" customWidth="1"/>
    <col min="13827" max="13827" width="1.7109375" style="296" customWidth="1"/>
    <col min="13828" max="13828" width="13.7109375" style="296" customWidth="1"/>
    <col min="13829" max="13829" width="1.7109375" style="296" customWidth="1"/>
    <col min="13830" max="13830" width="13.7109375" style="296" customWidth="1"/>
    <col min="13831" max="13831" width="1.7109375" style="296" customWidth="1"/>
    <col min="13832" max="13832" width="7.7109375" style="296" customWidth="1"/>
    <col min="13833" max="14080" width="2.28515625" style="296"/>
    <col min="14081" max="14081" width="18.7109375" style="296" customWidth="1"/>
    <col min="14082" max="14082" width="42.140625" style="296" customWidth="1"/>
    <col min="14083" max="14083" width="1.7109375" style="296" customWidth="1"/>
    <col min="14084" max="14084" width="13.7109375" style="296" customWidth="1"/>
    <col min="14085" max="14085" width="1.7109375" style="296" customWidth="1"/>
    <col min="14086" max="14086" width="13.7109375" style="296" customWidth="1"/>
    <col min="14087" max="14087" width="1.7109375" style="296" customWidth="1"/>
    <col min="14088" max="14088" width="7.7109375" style="296" customWidth="1"/>
    <col min="14089" max="14336" width="2.28515625" style="296"/>
    <col min="14337" max="14337" width="18.7109375" style="296" customWidth="1"/>
    <col min="14338" max="14338" width="42.140625" style="296" customWidth="1"/>
    <col min="14339" max="14339" width="1.7109375" style="296" customWidth="1"/>
    <col min="14340" max="14340" width="13.7109375" style="296" customWidth="1"/>
    <col min="14341" max="14341" width="1.7109375" style="296" customWidth="1"/>
    <col min="14342" max="14342" width="13.7109375" style="296" customWidth="1"/>
    <col min="14343" max="14343" width="1.7109375" style="296" customWidth="1"/>
    <col min="14344" max="14344" width="7.7109375" style="296" customWidth="1"/>
    <col min="14345" max="14592" width="2.28515625" style="296"/>
    <col min="14593" max="14593" width="18.7109375" style="296" customWidth="1"/>
    <col min="14594" max="14594" width="42.140625" style="296" customWidth="1"/>
    <col min="14595" max="14595" width="1.7109375" style="296" customWidth="1"/>
    <col min="14596" max="14596" width="13.7109375" style="296" customWidth="1"/>
    <col min="14597" max="14597" width="1.7109375" style="296" customWidth="1"/>
    <col min="14598" max="14598" width="13.7109375" style="296" customWidth="1"/>
    <col min="14599" max="14599" width="1.7109375" style="296" customWidth="1"/>
    <col min="14600" max="14600" width="7.7109375" style="296" customWidth="1"/>
    <col min="14601" max="14848" width="2.28515625" style="296"/>
    <col min="14849" max="14849" width="18.7109375" style="296" customWidth="1"/>
    <col min="14850" max="14850" width="42.140625" style="296" customWidth="1"/>
    <col min="14851" max="14851" width="1.7109375" style="296" customWidth="1"/>
    <col min="14852" max="14852" width="13.7109375" style="296" customWidth="1"/>
    <col min="14853" max="14853" width="1.7109375" style="296" customWidth="1"/>
    <col min="14854" max="14854" width="13.7109375" style="296" customWidth="1"/>
    <col min="14855" max="14855" width="1.7109375" style="296" customWidth="1"/>
    <col min="14856" max="14856" width="7.7109375" style="296" customWidth="1"/>
    <col min="14857" max="15104" width="2.28515625" style="296"/>
    <col min="15105" max="15105" width="18.7109375" style="296" customWidth="1"/>
    <col min="15106" max="15106" width="42.140625" style="296" customWidth="1"/>
    <col min="15107" max="15107" width="1.7109375" style="296" customWidth="1"/>
    <col min="15108" max="15108" width="13.7109375" style="296" customWidth="1"/>
    <col min="15109" max="15109" width="1.7109375" style="296" customWidth="1"/>
    <col min="15110" max="15110" width="13.7109375" style="296" customWidth="1"/>
    <col min="15111" max="15111" width="1.7109375" style="296" customWidth="1"/>
    <col min="15112" max="15112" width="7.7109375" style="296" customWidth="1"/>
    <col min="15113" max="15360" width="2.28515625" style="296"/>
    <col min="15361" max="15361" width="18.7109375" style="296" customWidth="1"/>
    <col min="15362" max="15362" width="42.140625" style="296" customWidth="1"/>
    <col min="15363" max="15363" width="1.7109375" style="296" customWidth="1"/>
    <col min="15364" max="15364" width="13.7109375" style="296" customWidth="1"/>
    <col min="15365" max="15365" width="1.7109375" style="296" customWidth="1"/>
    <col min="15366" max="15366" width="13.7109375" style="296" customWidth="1"/>
    <col min="15367" max="15367" width="1.7109375" style="296" customWidth="1"/>
    <col min="15368" max="15368" width="7.7109375" style="296" customWidth="1"/>
    <col min="15369" max="15616" width="2.28515625" style="296"/>
    <col min="15617" max="15617" width="18.7109375" style="296" customWidth="1"/>
    <col min="15618" max="15618" width="42.140625" style="296" customWidth="1"/>
    <col min="15619" max="15619" width="1.7109375" style="296" customWidth="1"/>
    <col min="15620" max="15620" width="13.7109375" style="296" customWidth="1"/>
    <col min="15621" max="15621" width="1.7109375" style="296" customWidth="1"/>
    <col min="15622" max="15622" width="13.7109375" style="296" customWidth="1"/>
    <col min="15623" max="15623" width="1.7109375" style="296" customWidth="1"/>
    <col min="15624" max="15624" width="7.7109375" style="296" customWidth="1"/>
    <col min="15625" max="15872" width="2.28515625" style="296"/>
    <col min="15873" max="15873" width="18.7109375" style="296" customWidth="1"/>
    <col min="15874" max="15874" width="42.140625" style="296" customWidth="1"/>
    <col min="15875" max="15875" width="1.7109375" style="296" customWidth="1"/>
    <col min="15876" max="15876" width="13.7109375" style="296" customWidth="1"/>
    <col min="15877" max="15877" width="1.7109375" style="296" customWidth="1"/>
    <col min="15878" max="15878" width="13.7109375" style="296" customWidth="1"/>
    <col min="15879" max="15879" width="1.7109375" style="296" customWidth="1"/>
    <col min="15880" max="15880" width="7.7109375" style="296" customWidth="1"/>
    <col min="15881" max="16128" width="2.28515625" style="296"/>
    <col min="16129" max="16129" width="18.7109375" style="296" customWidth="1"/>
    <col min="16130" max="16130" width="42.140625" style="296" customWidth="1"/>
    <col min="16131" max="16131" width="1.7109375" style="296" customWidth="1"/>
    <col min="16132" max="16132" width="13.7109375" style="296" customWidth="1"/>
    <col min="16133" max="16133" width="1.7109375" style="296" customWidth="1"/>
    <col min="16134" max="16134" width="13.7109375" style="296" customWidth="1"/>
    <col min="16135" max="16135" width="1.7109375" style="296" customWidth="1"/>
    <col min="16136" max="16136" width="7.7109375" style="296" customWidth="1"/>
    <col min="16137" max="16384" width="2.28515625" style="296"/>
  </cols>
  <sheetData>
    <row r="1" spans="1:8" s="406" customFormat="1" x14ac:dyDescent="0.15"/>
    <row r="2" spans="1:8" s="406" customFormat="1" ht="15.75" x14ac:dyDescent="0.25">
      <c r="A2" s="405" t="s">
        <v>641</v>
      </c>
      <c r="B2" s="454" t="str">
        <f>+Bilan!D2</f>
        <v>ELESYST SA</v>
      </c>
      <c r="C2" s="464"/>
      <c r="F2" s="407" t="s">
        <v>642</v>
      </c>
      <c r="G2" s="525" t="str">
        <f>+Bilan!Q2</f>
        <v>2019</v>
      </c>
      <c r="H2" s="526"/>
    </row>
    <row r="3" spans="1:8" s="406" customFormat="1" x14ac:dyDescent="0.15">
      <c r="A3" s="405" t="s">
        <v>643</v>
      </c>
      <c r="B3" s="469" t="str">
        <f>+Bilan!D3</f>
        <v>MO1779U7P00197</v>
      </c>
      <c r="C3" s="469"/>
      <c r="F3" s="407" t="s">
        <v>644</v>
      </c>
      <c r="G3" s="526">
        <f>+Bilan!Q3</f>
        <v>12</v>
      </c>
      <c r="H3" s="526"/>
    </row>
    <row r="4" spans="1:8" s="406" customFormat="1" x14ac:dyDescent="0.15"/>
    <row r="5" spans="1:8" ht="12.75" x14ac:dyDescent="0.2">
      <c r="A5" s="527"/>
      <c r="B5" s="527"/>
      <c r="C5" s="527"/>
      <c r="D5" s="527"/>
      <c r="E5" s="527"/>
      <c r="F5" s="527"/>
      <c r="G5" s="527"/>
      <c r="H5" s="527"/>
    </row>
    <row r="6" spans="1:8" ht="18" x14ac:dyDescent="0.15">
      <c r="A6" s="528" t="s">
        <v>805</v>
      </c>
      <c r="B6" s="528"/>
      <c r="C6" s="528"/>
      <c r="D6" s="528"/>
      <c r="E6" s="528"/>
      <c r="F6" s="528"/>
      <c r="G6" s="528"/>
      <c r="H6" s="528"/>
    </row>
    <row r="8" spans="1:8" s="298" customFormat="1" x14ac:dyDescent="0.15">
      <c r="A8" s="465" t="s">
        <v>806</v>
      </c>
      <c r="B8" s="465"/>
      <c r="C8" s="327"/>
      <c r="D8" s="465" t="s">
        <v>807</v>
      </c>
      <c r="E8" s="327"/>
      <c r="F8" s="529" t="s">
        <v>808</v>
      </c>
      <c r="G8" s="327"/>
      <c r="H8" s="523" t="s">
        <v>809</v>
      </c>
    </row>
    <row r="9" spans="1:8" s="298" customFormat="1" ht="11.25" thickBot="1" x14ac:dyDescent="0.2">
      <c r="A9" s="459"/>
      <c r="B9" s="459"/>
      <c r="C9" s="305"/>
      <c r="D9" s="459"/>
      <c r="E9" s="305"/>
      <c r="F9" s="530"/>
      <c r="G9" s="305"/>
      <c r="H9" s="524"/>
    </row>
    <row r="10" spans="1:8" x14ac:dyDescent="0.15">
      <c r="A10" s="520" t="s">
        <v>810</v>
      </c>
      <c r="B10" s="520"/>
      <c r="C10" s="520"/>
      <c r="D10" s="520"/>
      <c r="E10" s="520"/>
      <c r="F10" s="520"/>
      <c r="G10" s="520"/>
      <c r="H10" s="520"/>
    </row>
    <row r="11" spans="1:8" x14ac:dyDescent="0.15">
      <c r="A11" s="298" t="s">
        <v>811</v>
      </c>
      <c r="D11" s="313"/>
      <c r="F11" s="314"/>
      <c r="H11" s="343" t="e">
        <f>(D11-F11)/F11</f>
        <v>#DIV/0!</v>
      </c>
    </row>
    <row r="12" spans="1:8" x14ac:dyDescent="0.15">
      <c r="A12" s="296" t="s">
        <v>812</v>
      </c>
      <c r="D12" s="313">
        <f>'Cpte Résultat'!I17</f>
        <v>78500000</v>
      </c>
      <c r="E12" s="313"/>
      <c r="F12" s="314">
        <f>'Cpte Résultat'!K17</f>
        <v>66800000</v>
      </c>
      <c r="H12" s="343">
        <f>(D12-F12)/F12</f>
        <v>0.17514970059880239</v>
      </c>
    </row>
    <row r="13" spans="1:8" x14ac:dyDescent="0.15">
      <c r="A13" s="296" t="s">
        <v>813</v>
      </c>
      <c r="D13" s="313">
        <f>'Cpte Résultat'!I13</f>
        <v>23000000</v>
      </c>
      <c r="E13" s="313"/>
      <c r="F13" s="314">
        <f>'Cpte Résultat'!K13</f>
        <v>22000000</v>
      </c>
      <c r="H13" s="343">
        <f>(D13-F13)/F13</f>
        <v>4.5454545454545456E-2</v>
      </c>
    </row>
    <row r="14" spans="1:8" x14ac:dyDescent="0.15">
      <c r="A14" s="296" t="s">
        <v>814</v>
      </c>
      <c r="D14" s="313">
        <f>'Cpte Résultat'!I31</f>
        <v>31355000</v>
      </c>
      <c r="E14" s="313"/>
      <c r="F14" s="314">
        <f>'Cpte Résultat'!K31</f>
        <v>28458000</v>
      </c>
      <c r="H14" s="343">
        <f t="shared" ref="H14:H34" si="0">(D14-F14)/F14</f>
        <v>0.10179914259610655</v>
      </c>
    </row>
    <row r="15" spans="1:8" x14ac:dyDescent="0.15">
      <c r="A15" s="296" t="s">
        <v>815</v>
      </c>
      <c r="D15" s="313">
        <f>'Cpte Résultat'!I33</f>
        <v>13100000</v>
      </c>
      <c r="E15" s="313"/>
      <c r="F15" s="314">
        <f>'Cpte Résultat'!K33</f>
        <v>11365000</v>
      </c>
      <c r="H15" s="343">
        <f t="shared" si="0"/>
        <v>0.15266168059832821</v>
      </c>
    </row>
    <row r="16" spans="1:8" x14ac:dyDescent="0.15">
      <c r="A16" s="296" t="s">
        <v>816</v>
      </c>
      <c r="D16" s="313">
        <f>'Cpte Résultat'!I36</f>
        <v>10600000</v>
      </c>
      <c r="E16" s="313"/>
      <c r="F16" s="314">
        <f>'Cpte Résultat'!K36</f>
        <v>8865000</v>
      </c>
      <c r="H16" s="343">
        <f t="shared" si="0"/>
        <v>0.19571347997743938</v>
      </c>
    </row>
    <row r="17" spans="1:8" x14ac:dyDescent="0.15">
      <c r="A17" s="296" t="s">
        <v>817</v>
      </c>
      <c r="D17" s="313">
        <f>'Cpte Résultat'!I42</f>
        <v>-1200000</v>
      </c>
      <c r="E17" s="313"/>
      <c r="F17" s="314">
        <f>'Cpte Résultat'!K42</f>
        <v>-965000</v>
      </c>
      <c r="H17" s="343">
        <f t="shared" si="0"/>
        <v>0.24352331606217617</v>
      </c>
    </row>
    <row r="18" spans="1:8" x14ac:dyDescent="0.15">
      <c r="A18" s="296" t="s">
        <v>818</v>
      </c>
      <c r="D18" s="313">
        <f>'Cpte Résultat'!I43</f>
        <v>9400000</v>
      </c>
      <c r="E18" s="313"/>
      <c r="F18" s="314">
        <f>'Cpte Résultat'!K43</f>
        <v>7900000</v>
      </c>
      <c r="H18" s="343">
        <f t="shared" si="0"/>
        <v>0.189873417721519</v>
      </c>
    </row>
    <row r="19" spans="1:8" x14ac:dyDescent="0.15">
      <c r="A19" s="296" t="s">
        <v>819</v>
      </c>
      <c r="D19" s="313">
        <f>'Cpte Résultat'!I48</f>
        <v>0</v>
      </c>
      <c r="E19" s="313"/>
      <c r="F19" s="314">
        <f>'Cpte Résultat'!K48</f>
        <v>0</v>
      </c>
      <c r="H19" s="343" t="e">
        <f t="shared" si="0"/>
        <v>#DIV/0!</v>
      </c>
    </row>
    <row r="20" spans="1:8" x14ac:dyDescent="0.15">
      <c r="A20" s="296" t="s">
        <v>820</v>
      </c>
      <c r="D20" s="313">
        <f>'Cpte Résultat'!I51</f>
        <v>6000000</v>
      </c>
      <c r="E20" s="313"/>
      <c r="F20" s="314">
        <f>'Cpte Résultat'!K51</f>
        <v>5000000</v>
      </c>
      <c r="H20" s="343">
        <f t="shared" si="0"/>
        <v>0.2</v>
      </c>
    </row>
    <row r="21" spans="1:8" x14ac:dyDescent="0.15">
      <c r="A21" s="521" t="s">
        <v>821</v>
      </c>
      <c r="B21" s="521"/>
      <c r="C21" s="521"/>
      <c r="D21" s="521"/>
      <c r="E21" s="521"/>
      <c r="F21" s="521"/>
      <c r="G21" s="521"/>
      <c r="H21" s="521" t="e">
        <f t="shared" si="0"/>
        <v>#DIV/0!</v>
      </c>
    </row>
    <row r="22" spans="1:8" s="298" customFormat="1" x14ac:dyDescent="0.15">
      <c r="A22" s="298" t="s">
        <v>628</v>
      </c>
      <c r="D22" s="315">
        <f>D15</f>
        <v>13100000</v>
      </c>
      <c r="E22" s="315"/>
      <c r="F22" s="316">
        <f>F15</f>
        <v>11365000</v>
      </c>
      <c r="H22" s="344">
        <f t="shared" si="0"/>
        <v>0.15266168059832821</v>
      </c>
    </row>
    <row r="23" spans="1:8" x14ac:dyDescent="0.15">
      <c r="A23" s="296" t="s">
        <v>822</v>
      </c>
      <c r="D23" s="313">
        <f>'Cpte Résultat'!I46</f>
        <v>0</v>
      </c>
      <c r="E23" s="313"/>
      <c r="F23" s="314">
        <f>'Cpte Résultat'!K46</f>
        <v>0</v>
      </c>
      <c r="H23" s="343" t="e">
        <f t="shared" si="0"/>
        <v>#DIV/0!</v>
      </c>
    </row>
    <row r="24" spans="1:8" x14ac:dyDescent="0.15">
      <c r="A24" s="299" t="s">
        <v>823</v>
      </c>
      <c r="B24" s="299"/>
      <c r="C24" s="299"/>
      <c r="D24" s="313">
        <f>'Cpte Résultat'!I44</f>
        <v>0</v>
      </c>
      <c r="E24" s="313"/>
      <c r="F24" s="314">
        <f>'Cpte Résultat'!K44</f>
        <v>0</v>
      </c>
      <c r="H24" s="343" t="e">
        <f t="shared" si="0"/>
        <v>#DIV/0!</v>
      </c>
    </row>
    <row r="25" spans="1:8" s="298" customFormat="1" x14ac:dyDescent="0.15">
      <c r="A25" s="318" t="s">
        <v>824</v>
      </c>
      <c r="B25" s="318"/>
      <c r="C25" s="318"/>
      <c r="D25" s="320">
        <f>D22+D23-D24</f>
        <v>13100000</v>
      </c>
      <c r="E25" s="320"/>
      <c r="F25" s="271">
        <f>F22+F23-F24</f>
        <v>11365000</v>
      </c>
      <c r="G25" s="318"/>
      <c r="H25" s="345">
        <f t="shared" si="0"/>
        <v>0.15266168059832821</v>
      </c>
    </row>
    <row r="26" spans="1:8" x14ac:dyDescent="0.15">
      <c r="A26" s="338" t="s">
        <v>825</v>
      </c>
      <c r="D26" s="313">
        <f>'Cpte Résultat'!I37</f>
        <v>0</v>
      </c>
      <c r="E26" s="313"/>
      <c r="F26" s="314">
        <f>'Cpte Résultat'!K37</f>
        <v>0</v>
      </c>
      <c r="H26" s="343" t="e">
        <f t="shared" si="0"/>
        <v>#DIV/0!</v>
      </c>
    </row>
    <row r="27" spans="1:8" x14ac:dyDescent="0.15">
      <c r="A27" s="338" t="s">
        <v>826</v>
      </c>
      <c r="D27" s="313"/>
      <c r="E27" s="313"/>
      <c r="F27" s="314"/>
      <c r="H27" s="343" t="e">
        <f t="shared" si="0"/>
        <v>#DIV/0!</v>
      </c>
    </row>
    <row r="28" spans="1:8" x14ac:dyDescent="0.15">
      <c r="A28" s="338" t="s">
        <v>827</v>
      </c>
      <c r="D28" s="313">
        <f>'Cpte Résultat'!I39</f>
        <v>0</v>
      </c>
      <c r="E28" s="313"/>
      <c r="F28" s="314">
        <f>'Cpte Résultat'!K39</f>
        <v>0</v>
      </c>
      <c r="H28" s="343" t="e">
        <f t="shared" si="0"/>
        <v>#DIV/0!</v>
      </c>
    </row>
    <row r="29" spans="1:8" x14ac:dyDescent="0.15">
      <c r="A29" s="338" t="s">
        <v>828</v>
      </c>
      <c r="D29" s="313">
        <f>'Cpte Résultat'!I45</f>
        <v>0</v>
      </c>
      <c r="E29" s="313"/>
      <c r="F29" s="314">
        <f>'Cpte Résultat'!K45</f>
        <v>0</v>
      </c>
      <c r="H29" s="343" t="e">
        <f t="shared" si="0"/>
        <v>#DIV/0!</v>
      </c>
    </row>
    <row r="30" spans="1:8" x14ac:dyDescent="0.15">
      <c r="A30" s="338" t="s">
        <v>829</v>
      </c>
      <c r="D30" s="313"/>
      <c r="E30" s="313"/>
      <c r="F30" s="314"/>
      <c r="H30" s="343" t="e">
        <f t="shared" si="0"/>
        <v>#DIV/0!</v>
      </c>
    </row>
    <row r="31" spans="1:8" x14ac:dyDescent="0.15">
      <c r="A31" s="338" t="s">
        <v>830</v>
      </c>
      <c r="D31" s="313">
        <f>'Cpte Résultat'!I40</f>
        <v>1200000</v>
      </c>
      <c r="E31" s="313"/>
      <c r="F31" s="314">
        <f>'Cpte Résultat'!K40</f>
        <v>965000</v>
      </c>
      <c r="H31" s="343">
        <f t="shared" si="0"/>
        <v>0.24352331606217617</v>
      </c>
    </row>
    <row r="32" spans="1:8" x14ac:dyDescent="0.15">
      <c r="A32" s="338" t="s">
        <v>831</v>
      </c>
      <c r="D32" s="313"/>
      <c r="E32" s="313"/>
      <c r="F32" s="314"/>
      <c r="H32" s="343" t="e">
        <f t="shared" si="0"/>
        <v>#DIV/0!</v>
      </c>
    </row>
    <row r="33" spans="1:8" x14ac:dyDescent="0.15">
      <c r="A33" s="338" t="s">
        <v>832</v>
      </c>
      <c r="D33" s="313">
        <f>'Cpte Résultat'!I49</f>
        <v>0</v>
      </c>
      <c r="E33" s="313"/>
      <c r="F33" s="314">
        <f>'Cpte Résultat'!K49</f>
        <v>0</v>
      </c>
      <c r="H33" s="343" t="e">
        <f t="shared" si="0"/>
        <v>#DIV/0!</v>
      </c>
    </row>
    <row r="34" spans="1:8" x14ac:dyDescent="0.15">
      <c r="A34" s="338" t="s">
        <v>833</v>
      </c>
      <c r="D34" s="313">
        <f>'Cpte Résultat'!I50</f>
        <v>3400000</v>
      </c>
      <c r="E34" s="313"/>
      <c r="F34" s="314">
        <f>'Cpte Résultat'!K50</f>
        <v>2900000</v>
      </c>
      <c r="H34" s="343">
        <f t="shared" si="0"/>
        <v>0.17241379310344829</v>
      </c>
    </row>
    <row r="35" spans="1:8" s="298" customFormat="1" x14ac:dyDescent="0.15">
      <c r="A35" s="346" t="s">
        <v>834</v>
      </c>
      <c r="B35" s="318"/>
      <c r="C35" s="318"/>
      <c r="D35" s="320">
        <f>D25+(D26+D27+D28+D29+D30)-(D31+D32+D33+D34)</f>
        <v>8500000</v>
      </c>
      <c r="E35" s="320"/>
      <c r="F35" s="271">
        <f>F25+(F26+F27+F28+F29+F30)-(F31+F32+F33+F34)</f>
        <v>7500000</v>
      </c>
      <c r="G35" s="318"/>
      <c r="H35" s="345">
        <f>(D35-F35)/F35</f>
        <v>0.13333333333333333</v>
      </c>
    </row>
    <row r="36" spans="1:8" x14ac:dyDescent="0.15">
      <c r="A36" s="296" t="s">
        <v>835</v>
      </c>
      <c r="D36" s="296">
        <f>Bilan!K49</f>
        <v>0</v>
      </c>
      <c r="F36" s="312">
        <f>Bilan!M49</f>
        <v>0</v>
      </c>
      <c r="H36" s="345" t="e">
        <f>(D36-F36)/F36</f>
        <v>#DIV/0!</v>
      </c>
    </row>
    <row r="37" spans="1:8" s="298" customFormat="1" ht="11.25" thickBot="1" x14ac:dyDescent="0.2">
      <c r="A37" s="347" t="s">
        <v>836</v>
      </c>
      <c r="B37" s="322"/>
      <c r="C37" s="322"/>
      <c r="D37" s="323">
        <f>D35-D36</f>
        <v>8500000</v>
      </c>
      <c r="E37" s="323"/>
      <c r="F37" s="324">
        <f>F35-F36</f>
        <v>7500000</v>
      </c>
      <c r="G37" s="322"/>
      <c r="H37" s="348">
        <f>(D37-F37)/F37</f>
        <v>0.13333333333333333</v>
      </c>
    </row>
    <row r="38" spans="1:8" ht="11.25" thickTop="1" x14ac:dyDescent="0.15">
      <c r="A38" s="349"/>
    </row>
    <row r="39" spans="1:8" x14ac:dyDescent="0.15">
      <c r="A39" s="520" t="s">
        <v>837</v>
      </c>
      <c r="B39" s="520"/>
      <c r="C39" s="520"/>
      <c r="D39" s="520"/>
      <c r="E39" s="520"/>
      <c r="F39" s="520"/>
      <c r="G39" s="520"/>
      <c r="H39" s="520"/>
    </row>
    <row r="40" spans="1:8" x14ac:dyDescent="0.15">
      <c r="A40" s="296" t="s">
        <v>838</v>
      </c>
      <c r="D40" s="313">
        <f>D16/(Bilan!T12+Bilan!T23)</f>
        <v>0.46086956521739131</v>
      </c>
      <c r="E40" s="313"/>
      <c r="F40" s="314">
        <f>F16/(Bilan!V12+Bilan!V23)</f>
        <v>0.35460000000000003</v>
      </c>
      <c r="H40" s="343">
        <f>(D40-F40)/F40</f>
        <v>0.29968856519286879</v>
      </c>
    </row>
    <row r="41" spans="1:8" x14ac:dyDescent="0.15">
      <c r="A41" s="299" t="s">
        <v>839</v>
      </c>
      <c r="B41" s="299"/>
      <c r="C41" s="299"/>
      <c r="D41" s="350">
        <f>D20/Bilan!T12</f>
        <v>0.4</v>
      </c>
      <c r="E41" s="350"/>
      <c r="F41" s="351">
        <f>F20/Bilan!V12</f>
        <v>0.33333333333333331</v>
      </c>
      <c r="G41" s="299"/>
      <c r="H41" s="352">
        <f>(D41-F41)/F41</f>
        <v>0.20000000000000012</v>
      </c>
    </row>
    <row r="43" spans="1:8" x14ac:dyDescent="0.15">
      <c r="A43" s="520" t="s">
        <v>840</v>
      </c>
      <c r="B43" s="520"/>
      <c r="C43" s="520"/>
      <c r="D43" s="520"/>
      <c r="E43" s="520"/>
      <c r="F43" s="520"/>
      <c r="G43" s="520"/>
      <c r="H43" s="520"/>
    </row>
    <row r="44" spans="1:8" x14ac:dyDescent="0.15">
      <c r="A44" s="296" t="s">
        <v>841</v>
      </c>
      <c r="D44" s="313">
        <f>Bilan!T22</f>
        <v>32000000</v>
      </c>
      <c r="E44" s="313"/>
      <c r="F44" s="314">
        <f>Bilan!V22</f>
        <v>29500000</v>
      </c>
      <c r="H44" s="343">
        <f t="shared" ref="H44:H56" si="1">(D44-F44)/F44</f>
        <v>8.4745762711864403E-2</v>
      </c>
    </row>
    <row r="45" spans="1:8" x14ac:dyDescent="0.15">
      <c r="A45" s="338" t="s">
        <v>842</v>
      </c>
      <c r="D45" s="313">
        <f>Bilan!T26</f>
        <v>8000000</v>
      </c>
      <c r="E45" s="313"/>
      <c r="F45" s="314">
        <f>Bilan!V26</f>
        <v>10000000</v>
      </c>
      <c r="H45" s="343">
        <f t="shared" si="1"/>
        <v>-0.2</v>
      </c>
    </row>
    <row r="46" spans="1:8" x14ac:dyDescent="0.15">
      <c r="A46" s="349" t="s">
        <v>843</v>
      </c>
      <c r="B46" s="298"/>
      <c r="C46" s="298"/>
      <c r="D46" s="315">
        <f>D44+D45</f>
        <v>40000000</v>
      </c>
      <c r="E46" s="315"/>
      <c r="F46" s="316">
        <f>F44+F45</f>
        <v>39500000</v>
      </c>
      <c r="G46" s="298"/>
      <c r="H46" s="344">
        <f t="shared" si="1"/>
        <v>1.2658227848101266E-2</v>
      </c>
    </row>
    <row r="47" spans="1:8" x14ac:dyDescent="0.15">
      <c r="A47" s="353" t="s">
        <v>844</v>
      </c>
      <c r="B47" s="299"/>
      <c r="C47" s="299"/>
      <c r="D47" s="313">
        <f>Bilan!K26</f>
        <v>25930000</v>
      </c>
      <c r="E47" s="313"/>
      <c r="F47" s="314">
        <f>Bilan!M26</f>
        <v>28330000</v>
      </c>
      <c r="H47" s="343">
        <f t="shared" si="1"/>
        <v>-8.4715848923402753E-2</v>
      </c>
    </row>
    <row r="48" spans="1:8" s="298" customFormat="1" x14ac:dyDescent="0.15">
      <c r="A48" s="346" t="s">
        <v>845</v>
      </c>
      <c r="B48" s="318"/>
      <c r="C48" s="318"/>
      <c r="D48" s="320">
        <f>D46-D47</f>
        <v>14070000</v>
      </c>
      <c r="E48" s="320"/>
      <c r="F48" s="271">
        <f>F46-F47</f>
        <v>11170000</v>
      </c>
      <c r="G48" s="318"/>
      <c r="H48" s="345">
        <f t="shared" si="1"/>
        <v>0.25962399283795884</v>
      </c>
    </row>
    <row r="49" spans="1:8" x14ac:dyDescent="0.15">
      <c r="A49" s="296" t="s">
        <v>846</v>
      </c>
      <c r="D49" s="313">
        <f>Bilan!K33-Bilan!K27</f>
        <v>5250000</v>
      </c>
      <c r="E49" s="313"/>
      <c r="F49" s="314">
        <f>Bilan!M33-Bilan!M27</f>
        <v>4000000</v>
      </c>
      <c r="H49" s="343">
        <f t="shared" si="1"/>
        <v>0.3125</v>
      </c>
    </row>
    <row r="50" spans="1:8" x14ac:dyDescent="0.15">
      <c r="A50" s="296" t="s">
        <v>847</v>
      </c>
      <c r="D50" s="313">
        <f>Bilan!T34-Bilan!T28</f>
        <v>3200000</v>
      </c>
      <c r="E50" s="313"/>
      <c r="F50" s="314">
        <f>Bilan!V34-Bilan!V28</f>
        <v>2300000</v>
      </c>
      <c r="H50" s="343">
        <f t="shared" si="1"/>
        <v>0.39130434782608697</v>
      </c>
    </row>
    <row r="51" spans="1:8" s="298" customFormat="1" x14ac:dyDescent="0.15">
      <c r="A51" s="318" t="s">
        <v>848</v>
      </c>
      <c r="B51" s="318"/>
      <c r="C51" s="318"/>
      <c r="D51" s="320">
        <f>D49-D50</f>
        <v>2050000</v>
      </c>
      <c r="E51" s="320"/>
      <c r="F51" s="271">
        <f>F49-F50</f>
        <v>1700000</v>
      </c>
      <c r="G51" s="318"/>
      <c r="H51" s="345">
        <f t="shared" si="1"/>
        <v>0.20588235294117646</v>
      </c>
    </row>
    <row r="52" spans="1:8" x14ac:dyDescent="0.15">
      <c r="A52" s="296" t="s">
        <v>849</v>
      </c>
      <c r="D52" s="313">
        <f>Bilan!K27</f>
        <v>0</v>
      </c>
      <c r="E52" s="313"/>
      <c r="F52" s="314">
        <f>Bilan!M27</f>
        <v>0</v>
      </c>
      <c r="H52" s="343" t="e">
        <f t="shared" si="1"/>
        <v>#DIV/0!</v>
      </c>
    </row>
    <row r="53" spans="1:8" x14ac:dyDescent="0.15">
      <c r="A53" s="338" t="s">
        <v>850</v>
      </c>
      <c r="D53" s="313">
        <f>Bilan!T28</f>
        <v>3000000</v>
      </c>
      <c r="E53" s="313"/>
      <c r="F53" s="314">
        <f>Bilan!V28</f>
        <v>2500000</v>
      </c>
      <c r="H53" s="343">
        <f t="shared" si="1"/>
        <v>0.2</v>
      </c>
    </row>
    <row r="54" spans="1:8" s="298" customFormat="1" x14ac:dyDescent="0.15">
      <c r="A54" s="318" t="s">
        <v>851</v>
      </c>
      <c r="B54" s="318"/>
      <c r="C54" s="318"/>
      <c r="D54" s="320">
        <f>D52-D53</f>
        <v>-3000000</v>
      </c>
      <c r="E54" s="320"/>
      <c r="F54" s="271">
        <f>F52-F53</f>
        <v>-2500000</v>
      </c>
      <c r="G54" s="318"/>
      <c r="H54" s="345">
        <f t="shared" si="1"/>
        <v>0.2</v>
      </c>
    </row>
    <row r="55" spans="1:8" s="298" customFormat="1" x14ac:dyDescent="0.15">
      <c r="A55" s="298" t="s">
        <v>852</v>
      </c>
      <c r="D55" s="315">
        <f>D51+D54</f>
        <v>-950000</v>
      </c>
      <c r="E55" s="315"/>
      <c r="F55" s="316">
        <f>F51+F54</f>
        <v>-800000</v>
      </c>
      <c r="H55" s="345">
        <f t="shared" si="1"/>
        <v>0.1875</v>
      </c>
    </row>
    <row r="56" spans="1:8" s="298" customFormat="1" ht="11.25" thickBot="1" x14ac:dyDescent="0.2">
      <c r="A56" s="322" t="s">
        <v>853</v>
      </c>
      <c r="B56" s="322"/>
      <c r="C56" s="322"/>
      <c r="D56" s="323">
        <f>D48-D55</f>
        <v>15020000</v>
      </c>
      <c r="E56" s="323"/>
      <c r="F56" s="324">
        <f>F48-F55</f>
        <v>11970000</v>
      </c>
      <c r="G56" s="322"/>
      <c r="H56" s="348">
        <f t="shared" si="1"/>
        <v>0.25480367585630742</v>
      </c>
    </row>
    <row r="57" spans="1:8" s="326" customFormat="1" ht="11.25" thickTop="1" x14ac:dyDescent="0.15">
      <c r="A57" s="326" t="s">
        <v>854</v>
      </c>
      <c r="D57" s="333">
        <f>Bilan!K37-Bilan!T37</f>
        <v>4000000</v>
      </c>
      <c r="E57" s="333"/>
      <c r="F57" s="333">
        <f>Bilan!M37-Bilan!V37</f>
        <v>3150000</v>
      </c>
    </row>
    <row r="59" spans="1:8" x14ac:dyDescent="0.15">
      <c r="A59" s="520" t="s">
        <v>855</v>
      </c>
      <c r="B59" s="520"/>
      <c r="C59" s="520"/>
      <c r="D59" s="520"/>
      <c r="E59" s="520"/>
      <c r="F59" s="520"/>
      <c r="G59" s="520"/>
      <c r="H59" s="520"/>
    </row>
    <row r="60" spans="1:8" x14ac:dyDescent="0.15">
      <c r="A60" s="296" t="s">
        <v>856</v>
      </c>
      <c r="D60" s="313">
        <f>'Flux Trésorerie'!I17</f>
        <v>8650000</v>
      </c>
      <c r="E60" s="313"/>
      <c r="F60" s="314">
        <f>'Flux Trésorerie'!K17</f>
        <v>8300000</v>
      </c>
      <c r="H60" s="343">
        <f>(D60-F60)/F60</f>
        <v>4.2168674698795178E-2</v>
      </c>
    </row>
    <row r="61" spans="1:8" x14ac:dyDescent="0.15">
      <c r="A61" s="338" t="s">
        <v>857</v>
      </c>
      <c r="D61" s="313">
        <f>'Flux Trésorerie'!I25</f>
        <v>0</v>
      </c>
      <c r="E61" s="313"/>
      <c r="F61" s="314">
        <f>'Flux Trésorerie'!K25</f>
        <v>0</v>
      </c>
      <c r="H61" s="343" t="e">
        <f>(D61-F61)/F61</f>
        <v>#DIV/0!</v>
      </c>
    </row>
    <row r="62" spans="1:8" x14ac:dyDescent="0.15">
      <c r="A62" s="353" t="s">
        <v>858</v>
      </c>
      <c r="B62" s="299"/>
      <c r="C62" s="299"/>
      <c r="D62" s="313">
        <f>'Flux Trésorerie'!I39</f>
        <v>0</v>
      </c>
      <c r="E62" s="313"/>
      <c r="F62" s="314">
        <f>'Flux Trésorerie'!K39</f>
        <v>0</v>
      </c>
      <c r="H62" s="343" t="e">
        <f>(D62-F62)/F62</f>
        <v>#DIV/0!</v>
      </c>
    </row>
    <row r="63" spans="1:8" s="298" customFormat="1" ht="11.25" thickBot="1" x14ac:dyDescent="0.2">
      <c r="A63" s="347" t="s">
        <v>859</v>
      </c>
      <c r="B63" s="322"/>
      <c r="C63" s="322"/>
      <c r="D63" s="323">
        <f>D60-D61+D62</f>
        <v>8650000</v>
      </c>
      <c r="E63" s="323"/>
      <c r="F63" s="324">
        <f>F60-F61+F62</f>
        <v>8300000</v>
      </c>
      <c r="G63" s="322"/>
      <c r="H63" s="348">
        <f>(D63-F63)/F63</f>
        <v>4.2168674698795178E-2</v>
      </c>
    </row>
    <row r="64" spans="1:8" ht="11.25" thickTop="1" x14ac:dyDescent="0.15">
      <c r="A64" s="349"/>
    </row>
    <row r="65" spans="1:8" x14ac:dyDescent="0.15">
      <c r="A65" s="522" t="s">
        <v>860</v>
      </c>
      <c r="B65" s="522"/>
      <c r="C65" s="522"/>
      <c r="D65" s="522"/>
      <c r="E65" s="522"/>
      <c r="F65" s="522"/>
      <c r="G65" s="522"/>
      <c r="H65" s="522"/>
    </row>
    <row r="66" spans="1:8" x14ac:dyDescent="0.15">
      <c r="A66" s="296" t="s">
        <v>861</v>
      </c>
      <c r="D66" s="313">
        <f>Bilan!T23+Bilan!T24+Bilan!T37</f>
        <v>8500000</v>
      </c>
      <c r="E66" s="313"/>
      <c r="F66" s="314">
        <f>Bilan!V23+Bilan!V24+Bilan!V37</f>
        <v>10350000</v>
      </c>
      <c r="H66" s="343">
        <f>(D66-F66)/F66</f>
        <v>-0.17874396135265699</v>
      </c>
    </row>
    <row r="67" spans="1:8" x14ac:dyDescent="0.15">
      <c r="A67" s="353" t="s">
        <v>862</v>
      </c>
      <c r="B67" s="299"/>
      <c r="C67" s="299"/>
      <c r="D67" s="313">
        <f>Bilan!K37</f>
        <v>4500000</v>
      </c>
      <c r="E67" s="313"/>
      <c r="F67" s="314">
        <f>Bilan!M37</f>
        <v>3500000</v>
      </c>
      <c r="H67" s="343">
        <f>(D67-F67)/F67</f>
        <v>0.2857142857142857</v>
      </c>
    </row>
    <row r="68" spans="1:8" s="298" customFormat="1" ht="11.25" thickBot="1" x14ac:dyDescent="0.2">
      <c r="A68" s="347" t="s">
        <v>863</v>
      </c>
      <c r="B68" s="322"/>
      <c r="C68" s="322"/>
      <c r="D68" s="323">
        <f>D66-D67</f>
        <v>4000000</v>
      </c>
      <c r="E68" s="323"/>
      <c r="F68" s="324">
        <f>F66-F67</f>
        <v>6850000</v>
      </c>
      <c r="G68" s="322"/>
      <c r="H68" s="348">
        <f>(D68-F68)/F68</f>
        <v>-0.41605839416058393</v>
      </c>
    </row>
    <row r="69" spans="1:8" ht="11.25" thickTop="1" x14ac:dyDescent="0.15">
      <c r="A69" s="338"/>
    </row>
    <row r="70" spans="1:8" x14ac:dyDescent="0.15">
      <c r="A70" s="296" t="s">
        <v>864</v>
      </c>
    </row>
    <row r="71" spans="1:8" x14ac:dyDescent="0.15">
      <c r="A71" s="296" t="s">
        <v>865</v>
      </c>
    </row>
    <row r="72" spans="1:8" x14ac:dyDescent="0.15">
      <c r="A72" s="296" t="s">
        <v>866</v>
      </c>
    </row>
    <row r="74" spans="1:8" s="326" customFormat="1" x14ac:dyDescent="0.15"/>
    <row r="75" spans="1:8" x14ac:dyDescent="0.15">
      <c r="A75" s="520" t="s">
        <v>867</v>
      </c>
      <c r="B75" s="520"/>
      <c r="C75" s="520"/>
      <c r="D75" s="520"/>
      <c r="E75" s="520"/>
      <c r="F75" s="520"/>
      <c r="G75" s="520"/>
      <c r="H75" s="520"/>
    </row>
    <row r="76" spans="1:8" x14ac:dyDescent="0.15">
      <c r="A76" s="296" t="s">
        <v>942</v>
      </c>
      <c r="B76" s="372"/>
      <c r="C76" s="372"/>
      <c r="D76" s="374">
        <f>(Bilan!M28+Bilan!K28)/2</f>
        <v>0</v>
      </c>
      <c r="E76" s="373"/>
      <c r="F76" s="374">
        <f>(Bilan!K44+Bilan!M28)/2</f>
        <v>0</v>
      </c>
      <c r="G76" s="372"/>
      <c r="H76" s="343" t="e">
        <f t="shared" ref="H76:H77" si="2">(D76-F76)/F76</f>
        <v>#DIV/0!</v>
      </c>
    </row>
    <row r="77" spans="1:8" x14ac:dyDescent="0.15">
      <c r="A77" s="296" t="s">
        <v>940</v>
      </c>
      <c r="B77" s="372"/>
      <c r="C77" s="372"/>
      <c r="D77" s="374">
        <f>'Cpte Résultat'!I22+'Cpte Résultat'!I23+'Cpte Résultat'!I24+'Cpte Résultat'!I26+'Cpte Résultat'!I27+'Cpte Résultat'!I28+'Cpte Résultat'!I29+'Cpte Résultat'!I30+'Cpte Résultat'!I32+'Cpte Résultat'!I35</f>
        <v>32900000</v>
      </c>
      <c r="E77" s="372"/>
      <c r="F77" s="374">
        <f>'Cpte Résultat'!K22+'Cpte Résultat'!K23+'Cpte Résultat'!K24+'Cpte Résultat'!K25+'Cpte Résultat'!K26+'Cpte Résultat'!K27+'Cpte Résultat'!K28+'Cpte Résultat'!K29+'Cpte Résultat'!K30+'Cpte Résultat'!K32+'Cpte Résultat'!K35</f>
        <v>31935000</v>
      </c>
      <c r="G77" s="372"/>
      <c r="H77" s="343">
        <f t="shared" si="2"/>
        <v>3.021762956004384E-2</v>
      </c>
    </row>
    <row r="78" spans="1:8" x14ac:dyDescent="0.15">
      <c r="A78" s="296" t="s">
        <v>17</v>
      </c>
      <c r="D78" s="355">
        <f>+D48/D55</f>
        <v>-14.810526315789474</v>
      </c>
      <c r="E78" s="355"/>
      <c r="F78" s="355">
        <f>F48/F55</f>
        <v>-13.9625</v>
      </c>
      <c r="H78" s="343">
        <f>(D78-F78)/F78</f>
        <v>6.0735993968807418E-2</v>
      </c>
    </row>
    <row r="79" spans="1:8" x14ac:dyDescent="0.15">
      <c r="A79" s="296" t="s">
        <v>868</v>
      </c>
      <c r="D79" s="355">
        <f>(Bilan!K39-Bilan!T22)/Bilan!K39</f>
        <v>0.1031390134529148</v>
      </c>
      <c r="E79" s="355"/>
      <c r="F79" s="355">
        <f>(Bilan!M39-Bilan!V22)/Bilan!M39</f>
        <v>0.17666759698576612</v>
      </c>
      <c r="H79" s="343">
        <f t="shared" ref="H79:H90" si="3">(D79-F79)/F79</f>
        <v>-0.41619733775388035</v>
      </c>
    </row>
    <row r="80" spans="1:8" x14ac:dyDescent="0.15">
      <c r="A80" s="296" t="s">
        <v>872</v>
      </c>
      <c r="D80" s="313">
        <f>(Bilan!T23+Bilan!T24)/'INDICATEURS FIN'!D35</f>
        <v>0.94117647058823528</v>
      </c>
      <c r="E80" s="313"/>
      <c r="F80" s="313">
        <f>(Bilan!V23+Bilan!V24)/'INDICATEURS FIN'!F35</f>
        <v>1.3333333333333333</v>
      </c>
      <c r="H80" s="343">
        <f t="shared" si="3"/>
        <v>-0.29411764705882348</v>
      </c>
    </row>
    <row r="81" spans="1:9" x14ac:dyDescent="0.15">
      <c r="A81" s="296" t="s">
        <v>874</v>
      </c>
      <c r="D81" s="313">
        <f>'Flux Trésorerie'!I17/'Cpte Résultat'!I40</f>
        <v>7.208333333333333</v>
      </c>
      <c r="E81" s="313"/>
      <c r="F81" s="313">
        <f>'Flux Trésorerie'!K17/'Cpte Résultat'!K40</f>
        <v>8.6010362694300522</v>
      </c>
      <c r="H81" s="343">
        <f t="shared" si="3"/>
        <v>-0.16192269076305227</v>
      </c>
    </row>
    <row r="82" spans="1:9" x14ac:dyDescent="0.15">
      <c r="A82" s="296" t="s">
        <v>904</v>
      </c>
      <c r="D82" s="343">
        <f>Bilan!T22/Bilan!T39</f>
        <v>0.68522483940042822</v>
      </c>
      <c r="F82" s="343">
        <f>Bilan!V22/Bilan!V39</f>
        <v>0.6606942889137738</v>
      </c>
      <c r="H82" s="343">
        <f t="shared" si="3"/>
        <v>3.7128443363698985E-2</v>
      </c>
    </row>
    <row r="83" spans="1:9" x14ac:dyDescent="0.15">
      <c r="A83" s="296" t="s">
        <v>908</v>
      </c>
      <c r="D83" s="355">
        <f>Bilan!K33/Bilan!T34</f>
        <v>0.84677419354838712</v>
      </c>
      <c r="E83" s="355"/>
      <c r="F83" s="355">
        <f>Bilan!M33/Bilan!V34</f>
        <v>0.83333333333333337</v>
      </c>
      <c r="H83" s="343">
        <f t="shared" si="3"/>
        <v>1.6129032258064502E-2</v>
      </c>
    </row>
    <row r="84" spans="1:9" x14ac:dyDescent="0.15">
      <c r="A84" s="296" t="s">
        <v>411</v>
      </c>
      <c r="D84" s="362">
        <f>D12/D15</f>
        <v>5.9923664122137401</v>
      </c>
      <c r="E84" s="362"/>
      <c r="F84" s="362">
        <f>F12/F15</f>
        <v>5.8776946766388036</v>
      </c>
      <c r="H84" s="343">
        <f t="shared" si="3"/>
        <v>1.9509644832472351E-2</v>
      </c>
    </row>
    <row r="85" spans="1:9" x14ac:dyDescent="0.15">
      <c r="A85" s="296" t="s">
        <v>930</v>
      </c>
      <c r="D85" s="343">
        <f>D16/Bilan!K39</f>
        <v>0.297085201793722</v>
      </c>
      <c r="E85" s="343"/>
      <c r="F85" s="343">
        <f>F16/Bilan!M39</f>
        <v>0.24741836449902316</v>
      </c>
      <c r="H85" s="343">
        <f t="shared" si="3"/>
        <v>0.20074030234281551</v>
      </c>
    </row>
    <row r="86" spans="1:9" x14ac:dyDescent="0.15">
      <c r="A86" s="296" t="s">
        <v>927</v>
      </c>
      <c r="D86" s="365">
        <f>Bilan!T22/'INDICATEURS FIN'!D20</f>
        <v>5.333333333333333</v>
      </c>
      <c r="E86" s="365"/>
      <c r="F86" s="365">
        <f>Bilan!V22/'INDICATEURS FIN'!F20</f>
        <v>5.9</v>
      </c>
      <c r="H86" s="343">
        <f t="shared" si="3"/>
        <v>-9.6045197740113095E-2</v>
      </c>
    </row>
    <row r="87" spans="1:9" x14ac:dyDescent="0.15">
      <c r="A87" s="296" t="s">
        <v>902</v>
      </c>
      <c r="D87" s="313">
        <f>Bilan!T22/(Bilan!T23+Bilan!T24)</f>
        <v>4</v>
      </c>
      <c r="E87" s="313"/>
      <c r="F87" s="313">
        <f>Bilan!V22/(Bilan!V23+Bilan!V24)</f>
        <v>2.95</v>
      </c>
      <c r="H87" s="343">
        <f t="shared" si="3"/>
        <v>0.35593220338983045</v>
      </c>
    </row>
    <row r="88" spans="1:9" x14ac:dyDescent="0.15">
      <c r="A88" s="296" t="s">
        <v>932</v>
      </c>
      <c r="D88" s="313">
        <f>(Bilan!K31/'INDICATEURS FIN'!D12)*365</f>
        <v>13.949044585987261</v>
      </c>
      <c r="F88" s="296">
        <f>(Bilan!M31/'INDICATEURS FIN'!F12)*365</f>
        <v>13.660179640718562</v>
      </c>
      <c r="H88" s="343">
        <f t="shared" si="3"/>
        <v>2.1146496815286686E-2</v>
      </c>
    </row>
    <row r="89" spans="1:9" x14ac:dyDescent="0.15">
      <c r="A89" s="396" t="s">
        <v>936</v>
      </c>
      <c r="B89" s="396"/>
      <c r="C89" s="396"/>
      <c r="D89" s="397">
        <f>(Bilan!T30/('Cpte Résultat'!I23+'Cpte Résultat'!I25))*365</f>
        <v>243.33333333333331</v>
      </c>
      <c r="E89" s="396"/>
      <c r="F89" s="396">
        <f>(Bilan!V30/('Cpte Résultat'!K23+'Cpte Résultat'!K25))*365</f>
        <v>219</v>
      </c>
      <c r="G89" s="396"/>
      <c r="H89" s="398">
        <f>(D89-F89)/F89</f>
        <v>0.11111111111111102</v>
      </c>
      <c r="I89" s="396"/>
    </row>
    <row r="90" spans="1:9" ht="11.25" thickBot="1" x14ac:dyDescent="0.2">
      <c r="A90" s="399" t="s">
        <v>939</v>
      </c>
      <c r="B90" s="400"/>
      <c r="C90" s="400"/>
      <c r="D90" s="401">
        <f>+(D76/D77)*365</f>
        <v>0</v>
      </c>
      <c r="E90" s="401"/>
      <c r="F90" s="402">
        <f>(F76/F77)*365</f>
        <v>0</v>
      </c>
      <c r="G90" s="400"/>
      <c r="H90" s="403" t="e">
        <f t="shared" si="3"/>
        <v>#DIV/0!</v>
      </c>
      <c r="I90" s="404"/>
    </row>
    <row r="91" spans="1:9" ht="11.25" thickTop="1" x14ac:dyDescent="0.15"/>
  </sheetData>
  <mergeCells count="17">
    <mergeCell ref="H8:H9"/>
    <mergeCell ref="B2:C2"/>
    <mergeCell ref="B3:C3"/>
    <mergeCell ref="G2:H2"/>
    <mergeCell ref="G3:H3"/>
    <mergeCell ref="A5:H5"/>
    <mergeCell ref="A6:H6"/>
    <mergeCell ref="A8:B9"/>
    <mergeCell ref="D8:D9"/>
    <mergeCell ref="F8:F9"/>
    <mergeCell ref="A75:H75"/>
    <mergeCell ref="A10:H10"/>
    <mergeCell ref="A21:H21"/>
    <mergeCell ref="A39:H39"/>
    <mergeCell ref="A43:H43"/>
    <mergeCell ref="A59:H59"/>
    <mergeCell ref="A65:H6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
  <sheetViews>
    <sheetView showGridLines="0" topLeftCell="A3" zoomScaleNormal="100" workbookViewId="0">
      <selection activeCell="A4" sqref="A4:F51"/>
    </sheetView>
  </sheetViews>
  <sheetFormatPr baseColWidth="10" defaultColWidth="11.42578125" defaultRowHeight="15" x14ac:dyDescent="0.25"/>
  <cols>
    <col min="1" max="1" width="19.42578125" customWidth="1"/>
    <col min="2" max="2" width="11.28515625" style="263" bestFit="1" customWidth="1"/>
    <col min="3" max="3" width="9.42578125" bestFit="1" customWidth="1"/>
    <col min="4" max="4" width="0.28515625" customWidth="1"/>
    <col min="5" max="5" width="67.5703125" bestFit="1" customWidth="1"/>
    <col min="7" max="7" width="12.7109375" customWidth="1"/>
    <col min="8" max="8" width="15.140625" customWidth="1"/>
    <col min="9" max="9" width="15.7109375" customWidth="1"/>
    <col min="10" max="10" width="13.85546875" bestFit="1" customWidth="1"/>
    <col min="11" max="11" width="14.7109375" bestFit="1" customWidth="1"/>
    <col min="12" max="12" width="13.5703125" bestFit="1" customWidth="1"/>
    <col min="13" max="13" width="15.85546875" bestFit="1" customWidth="1"/>
    <col min="14" max="14" width="15.5703125" bestFit="1" customWidth="1"/>
    <col min="15" max="15" width="12.42578125" bestFit="1" customWidth="1"/>
    <col min="16" max="16" width="14.140625" bestFit="1" customWidth="1"/>
  </cols>
  <sheetData>
    <row r="1" spans="1:16" s="427" customFormat="1" ht="15.75" x14ac:dyDescent="0.25">
      <c r="A1" s="407" t="s">
        <v>641</v>
      </c>
      <c r="B1" s="454" t="str">
        <f>+Bilan!D2</f>
        <v>ELESYST SA</v>
      </c>
      <c r="C1" s="454"/>
      <c r="D1" s="454"/>
      <c r="E1" s="454"/>
      <c r="F1" s="434"/>
      <c r="G1" s="407" t="s">
        <v>642</v>
      </c>
      <c r="H1" s="428" t="str">
        <f>+Bilan!Q2</f>
        <v>2019</v>
      </c>
      <c r="I1" s="425"/>
      <c r="J1" s="425"/>
      <c r="K1" s="426"/>
    </row>
    <row r="2" spans="1:16" s="427" customFormat="1" ht="15.75" x14ac:dyDescent="0.25">
      <c r="A2" s="407" t="s">
        <v>643</v>
      </c>
      <c r="B2" s="469" t="str">
        <f>+Bilan!D3</f>
        <v>MO1779U7P00197</v>
      </c>
      <c r="C2" s="469"/>
      <c r="D2" s="469"/>
      <c r="E2" s="469"/>
      <c r="G2" s="407" t="s">
        <v>644</v>
      </c>
      <c r="H2" s="429">
        <f>+Bilan!Q3</f>
        <v>12</v>
      </c>
      <c r="I2" s="425"/>
      <c r="J2" s="425"/>
      <c r="K2" s="426"/>
    </row>
    <row r="3" spans="1:16" s="430" customFormat="1" ht="15.75" thickBot="1" x14ac:dyDescent="0.3">
      <c r="A3" s="431"/>
      <c r="B3" s="432"/>
      <c r="C3" s="431"/>
      <c r="D3" s="431"/>
      <c r="E3" s="431"/>
      <c r="F3" s="431"/>
      <c r="G3" s="431"/>
      <c r="H3" s="431"/>
      <c r="I3" s="431"/>
      <c r="J3" s="431"/>
      <c r="K3" s="433"/>
      <c r="L3" s="433"/>
      <c r="M3" s="433"/>
      <c r="N3" s="433"/>
      <c r="O3" s="433"/>
      <c r="P3" s="433"/>
    </row>
    <row r="4" spans="1:16" s="135" customFormat="1" ht="24.75" customHeight="1" thickBot="1" x14ac:dyDescent="0.3">
      <c r="A4" s="133" t="s">
        <v>431</v>
      </c>
      <c r="B4" s="255" t="s">
        <v>0</v>
      </c>
      <c r="C4" s="134" t="s">
        <v>445</v>
      </c>
      <c r="D4" s="544"/>
      <c r="E4" s="545"/>
      <c r="F4" s="546"/>
      <c r="G4" s="130">
        <v>1</v>
      </c>
      <c r="H4" s="131">
        <v>2</v>
      </c>
      <c r="I4" s="131">
        <v>3</v>
      </c>
      <c r="J4" s="131">
        <v>4</v>
      </c>
      <c r="K4" s="131">
        <v>5</v>
      </c>
      <c r="L4" s="131">
        <v>6</v>
      </c>
      <c r="M4" s="131">
        <v>7</v>
      </c>
      <c r="N4" s="131">
        <v>8</v>
      </c>
      <c r="O4" s="131">
        <v>9</v>
      </c>
      <c r="P4" s="132">
        <v>10</v>
      </c>
    </row>
    <row r="5" spans="1:16" x14ac:dyDescent="0.25">
      <c r="A5" s="564" t="s">
        <v>2</v>
      </c>
      <c r="B5" s="567">
        <v>0.1</v>
      </c>
      <c r="C5" s="137">
        <v>1</v>
      </c>
      <c r="D5" s="547" t="s">
        <v>706</v>
      </c>
      <c r="E5" s="541"/>
      <c r="F5" s="542"/>
      <c r="G5" s="272" t="s">
        <v>707</v>
      </c>
      <c r="H5" s="272" t="s">
        <v>417</v>
      </c>
      <c r="I5" s="272" t="s">
        <v>708</v>
      </c>
      <c r="J5" s="272" t="s">
        <v>709</v>
      </c>
      <c r="K5" s="272" t="s">
        <v>710</v>
      </c>
      <c r="L5" s="272" t="s">
        <v>711</v>
      </c>
      <c r="M5" s="272" t="s">
        <v>27</v>
      </c>
      <c r="N5" s="272" t="s">
        <v>712</v>
      </c>
      <c r="O5" s="272" t="s">
        <v>713</v>
      </c>
      <c r="P5" s="272" t="s">
        <v>714</v>
      </c>
    </row>
    <row r="6" spans="1:16" x14ac:dyDescent="0.25">
      <c r="A6" s="565"/>
      <c r="B6" s="568"/>
      <c r="C6" s="570">
        <v>2</v>
      </c>
      <c r="D6" s="548" t="s">
        <v>453</v>
      </c>
      <c r="E6" s="549"/>
      <c r="F6" s="550"/>
      <c r="G6" s="10" t="s">
        <v>24</v>
      </c>
      <c r="H6" s="10" t="s">
        <v>24</v>
      </c>
      <c r="I6" s="10" t="s">
        <v>25</v>
      </c>
      <c r="J6" s="10" t="s">
        <v>26</v>
      </c>
      <c r="K6" s="10" t="s">
        <v>27</v>
      </c>
      <c r="L6" s="10" t="s">
        <v>28</v>
      </c>
      <c r="M6" s="10" t="s">
        <v>28</v>
      </c>
      <c r="N6" s="10" t="s">
        <v>29</v>
      </c>
      <c r="O6" s="27" t="s">
        <v>30</v>
      </c>
      <c r="P6" s="28" t="s">
        <v>31</v>
      </c>
    </row>
    <row r="7" spans="1:16" x14ac:dyDescent="0.25">
      <c r="A7" s="565"/>
      <c r="B7" s="568"/>
      <c r="C7" s="570"/>
      <c r="D7" s="551"/>
      <c r="E7" s="552"/>
      <c r="F7" s="553"/>
      <c r="G7" s="29"/>
      <c r="H7" s="29"/>
      <c r="I7" s="29"/>
      <c r="J7" s="29"/>
      <c r="K7" s="29"/>
      <c r="L7" s="29" t="s">
        <v>32</v>
      </c>
      <c r="M7" s="29" t="s">
        <v>33</v>
      </c>
      <c r="N7" s="29" t="s">
        <v>34</v>
      </c>
      <c r="O7" s="12" t="s">
        <v>35</v>
      </c>
      <c r="P7" s="11" t="s">
        <v>36</v>
      </c>
    </row>
    <row r="8" spans="1:16" x14ac:dyDescent="0.25">
      <c r="A8" s="565"/>
      <c r="B8" s="568"/>
      <c r="C8" s="138">
        <v>3</v>
      </c>
      <c r="D8" s="531" t="s">
        <v>4</v>
      </c>
      <c r="E8" s="532"/>
      <c r="F8" s="533"/>
      <c r="G8" s="14" t="s">
        <v>37</v>
      </c>
      <c r="H8" s="31" t="s">
        <v>38</v>
      </c>
      <c r="I8" s="14" t="s">
        <v>39</v>
      </c>
      <c r="J8" s="14" t="s">
        <v>40</v>
      </c>
      <c r="K8" s="14" t="s">
        <v>41</v>
      </c>
      <c r="L8" s="14" t="s">
        <v>41</v>
      </c>
      <c r="M8" s="14" t="s">
        <v>42</v>
      </c>
      <c r="N8" s="14" t="s">
        <v>42</v>
      </c>
      <c r="O8" s="14" t="s">
        <v>43</v>
      </c>
      <c r="P8" s="13" t="s">
        <v>43</v>
      </c>
    </row>
    <row r="9" spans="1:16" x14ac:dyDescent="0.25">
      <c r="A9" s="565"/>
      <c r="B9" s="568"/>
      <c r="C9" s="570">
        <v>4</v>
      </c>
      <c r="D9" s="548" t="s">
        <v>5</v>
      </c>
      <c r="E9" s="549"/>
      <c r="F9" s="550"/>
      <c r="G9" s="10" t="s">
        <v>408</v>
      </c>
      <c r="H9" s="10" t="s">
        <v>44</v>
      </c>
      <c r="I9" s="10" t="s">
        <v>45</v>
      </c>
      <c r="J9" s="10" t="s">
        <v>46</v>
      </c>
      <c r="K9" s="10" t="s">
        <v>47</v>
      </c>
      <c r="L9" s="10" t="s">
        <v>48</v>
      </c>
      <c r="M9" s="10" t="s">
        <v>49</v>
      </c>
      <c r="N9" s="10" t="s">
        <v>50</v>
      </c>
      <c r="O9" s="10" t="s">
        <v>51</v>
      </c>
      <c r="P9" s="21" t="s">
        <v>52</v>
      </c>
    </row>
    <row r="10" spans="1:16" x14ac:dyDescent="0.25">
      <c r="A10" s="565"/>
      <c r="B10" s="568"/>
      <c r="C10" s="570"/>
      <c r="D10" s="551"/>
      <c r="E10" s="552"/>
      <c r="F10" s="553"/>
      <c r="G10" s="29" t="s">
        <v>53</v>
      </c>
      <c r="H10" s="29" t="s">
        <v>53</v>
      </c>
      <c r="I10" s="29" t="s">
        <v>53</v>
      </c>
      <c r="J10" s="32" t="s">
        <v>53</v>
      </c>
      <c r="K10" s="29" t="s">
        <v>53</v>
      </c>
      <c r="L10" s="29" t="s">
        <v>53</v>
      </c>
      <c r="M10" s="29" t="s">
        <v>54</v>
      </c>
      <c r="N10" s="29" t="s">
        <v>55</v>
      </c>
      <c r="O10" s="29" t="s">
        <v>56</v>
      </c>
      <c r="P10" s="33" t="s">
        <v>57</v>
      </c>
    </row>
    <row r="11" spans="1:16" x14ac:dyDescent="0.25">
      <c r="A11" s="565"/>
      <c r="B11" s="568"/>
      <c r="C11" s="570">
        <v>5</v>
      </c>
      <c r="D11" s="548" t="s">
        <v>6</v>
      </c>
      <c r="E11" s="549"/>
      <c r="F11" s="550"/>
      <c r="G11" s="10" t="s">
        <v>58</v>
      </c>
      <c r="H11" s="10" t="s">
        <v>59</v>
      </c>
      <c r="I11" s="27" t="s">
        <v>28</v>
      </c>
      <c r="J11" s="34" t="s">
        <v>28</v>
      </c>
      <c r="K11" s="10" t="s">
        <v>60</v>
      </c>
      <c r="L11" s="10" t="s">
        <v>61</v>
      </c>
      <c r="M11" s="10" t="s">
        <v>60</v>
      </c>
      <c r="N11" s="10" t="s">
        <v>62</v>
      </c>
      <c r="O11" s="10" t="s">
        <v>58</v>
      </c>
      <c r="P11" s="21" t="s">
        <v>63</v>
      </c>
    </row>
    <row r="12" spans="1:16" x14ac:dyDescent="0.25">
      <c r="A12" s="565"/>
      <c r="B12" s="568"/>
      <c r="C12" s="570"/>
      <c r="D12" s="551"/>
      <c r="E12" s="552"/>
      <c r="F12" s="553"/>
      <c r="G12" s="29" t="s">
        <v>64</v>
      </c>
      <c r="H12" s="29"/>
      <c r="I12" s="12" t="s">
        <v>27</v>
      </c>
      <c r="J12" s="12" t="s">
        <v>34</v>
      </c>
      <c r="K12" s="29" t="s">
        <v>34</v>
      </c>
      <c r="L12" s="29"/>
      <c r="M12" s="29" t="s">
        <v>65</v>
      </c>
      <c r="N12" s="29"/>
      <c r="O12" s="29" t="s">
        <v>65</v>
      </c>
      <c r="P12" s="33" t="s">
        <v>62</v>
      </c>
    </row>
    <row r="13" spans="1:16" x14ac:dyDescent="0.25">
      <c r="A13" s="565"/>
      <c r="B13" s="568"/>
      <c r="C13" s="138">
        <v>6</v>
      </c>
      <c r="D13" s="531" t="s">
        <v>7</v>
      </c>
      <c r="E13" s="532"/>
      <c r="F13" s="533"/>
      <c r="G13" s="14" t="s">
        <v>66</v>
      </c>
      <c r="H13" s="14" t="s">
        <v>66</v>
      </c>
      <c r="I13" s="14" t="s">
        <v>67</v>
      </c>
      <c r="J13" s="14" t="s">
        <v>68</v>
      </c>
      <c r="K13" s="14" t="s">
        <v>69</v>
      </c>
      <c r="L13" s="14" t="s">
        <v>70</v>
      </c>
      <c r="M13" s="14" t="s">
        <v>71</v>
      </c>
      <c r="N13" s="14" t="s">
        <v>71</v>
      </c>
      <c r="O13" s="14" t="s">
        <v>72</v>
      </c>
      <c r="P13" s="13" t="s">
        <v>72</v>
      </c>
    </row>
    <row r="14" spans="1:16" ht="15.75" thickBot="1" x14ac:dyDescent="0.3">
      <c r="A14" s="566"/>
      <c r="B14" s="569"/>
      <c r="C14" s="139">
        <v>7</v>
      </c>
      <c r="D14" s="534" t="s">
        <v>8</v>
      </c>
      <c r="E14" s="535"/>
      <c r="F14" s="536"/>
      <c r="G14" s="23" t="s">
        <v>24</v>
      </c>
      <c r="H14" s="23" t="s">
        <v>24</v>
      </c>
      <c r="I14" s="23" t="s">
        <v>25</v>
      </c>
      <c r="J14" s="23" t="s">
        <v>25</v>
      </c>
      <c r="K14" s="23" t="s">
        <v>26</v>
      </c>
      <c r="L14" s="23" t="s">
        <v>73</v>
      </c>
      <c r="M14" s="23" t="s">
        <v>74</v>
      </c>
      <c r="N14" s="23" t="s">
        <v>27</v>
      </c>
      <c r="O14" s="23" t="s">
        <v>75</v>
      </c>
      <c r="P14" s="22" t="s">
        <v>76</v>
      </c>
    </row>
    <row r="15" spans="1:16" ht="15.75" thickBot="1" x14ac:dyDescent="0.3">
      <c r="A15" s="35"/>
      <c r="B15" s="256"/>
      <c r="C15" s="36"/>
      <c r="D15" s="37"/>
      <c r="E15" s="37"/>
      <c r="F15" s="37"/>
      <c r="G15" s="37"/>
      <c r="H15" s="37"/>
      <c r="I15" s="37"/>
      <c r="J15" s="37"/>
      <c r="K15" s="37"/>
      <c r="L15" s="37"/>
      <c r="M15" s="37"/>
      <c r="N15" s="37"/>
      <c r="O15" s="37"/>
      <c r="P15" s="38"/>
    </row>
    <row r="16" spans="1:16" x14ac:dyDescent="0.25">
      <c r="A16" s="561" t="s">
        <v>9</v>
      </c>
      <c r="B16" s="472">
        <v>0.2</v>
      </c>
      <c r="C16" s="39">
        <v>8</v>
      </c>
      <c r="D16" s="540" t="s">
        <v>407</v>
      </c>
      <c r="E16" s="541"/>
      <c r="F16" s="542"/>
      <c r="G16" s="12" t="s">
        <v>96</v>
      </c>
      <c r="H16" s="12" t="s">
        <v>24</v>
      </c>
      <c r="I16" s="12" t="s">
        <v>25</v>
      </c>
      <c r="J16" s="12" t="s">
        <v>97</v>
      </c>
      <c r="K16" s="12" t="s">
        <v>84</v>
      </c>
      <c r="L16" s="12" t="s">
        <v>405</v>
      </c>
      <c r="M16" s="12" t="s">
        <v>152</v>
      </c>
      <c r="N16" s="12" t="s">
        <v>85</v>
      </c>
      <c r="O16" s="12" t="s">
        <v>89</v>
      </c>
      <c r="P16" s="12" t="s">
        <v>153</v>
      </c>
    </row>
    <row r="17" spans="1:16" x14ac:dyDescent="0.25">
      <c r="A17" s="562"/>
      <c r="B17" s="473"/>
      <c r="C17" s="39">
        <v>9</v>
      </c>
      <c r="D17" s="543" t="s">
        <v>440</v>
      </c>
      <c r="E17" s="532"/>
      <c r="F17" s="533"/>
      <c r="G17" s="12" t="s">
        <v>96</v>
      </c>
      <c r="H17" s="12" t="s">
        <v>24</v>
      </c>
      <c r="I17" s="12" t="s">
        <v>25</v>
      </c>
      <c r="J17" s="12" t="s">
        <v>97</v>
      </c>
      <c r="K17" s="12" t="s">
        <v>84</v>
      </c>
      <c r="L17" s="12" t="s">
        <v>405</v>
      </c>
      <c r="M17" s="12" t="s">
        <v>152</v>
      </c>
      <c r="N17" s="12" t="s">
        <v>85</v>
      </c>
      <c r="O17" s="12" t="s">
        <v>89</v>
      </c>
      <c r="P17" s="11" t="s">
        <v>153</v>
      </c>
    </row>
    <row r="18" spans="1:16" x14ac:dyDescent="0.25">
      <c r="A18" s="562"/>
      <c r="B18" s="473"/>
      <c r="C18" s="40">
        <v>10</v>
      </c>
      <c r="D18" s="543" t="s">
        <v>439</v>
      </c>
      <c r="E18" s="532"/>
      <c r="F18" s="533"/>
      <c r="G18" s="14" t="s">
        <v>96</v>
      </c>
      <c r="H18" s="14" t="s">
        <v>24</v>
      </c>
      <c r="I18" s="14" t="s">
        <v>25</v>
      </c>
      <c r="J18" s="14" t="s">
        <v>97</v>
      </c>
      <c r="K18" s="14" t="s">
        <v>84</v>
      </c>
      <c r="L18" s="14" t="s">
        <v>405</v>
      </c>
      <c r="M18" s="14" t="s">
        <v>152</v>
      </c>
      <c r="N18" s="14" t="s">
        <v>85</v>
      </c>
      <c r="O18" s="14" t="s">
        <v>89</v>
      </c>
      <c r="P18" s="13" t="s">
        <v>153</v>
      </c>
    </row>
    <row r="19" spans="1:16" x14ac:dyDescent="0.25">
      <c r="A19" s="562"/>
      <c r="B19" s="473"/>
      <c r="C19" s="40">
        <v>11</v>
      </c>
      <c r="D19" s="543" t="s">
        <v>10</v>
      </c>
      <c r="E19" s="532"/>
      <c r="F19" s="533"/>
      <c r="G19" s="14" t="s">
        <v>96</v>
      </c>
      <c r="H19" s="14" t="s">
        <v>24</v>
      </c>
      <c r="I19" s="14" t="s">
        <v>25</v>
      </c>
      <c r="J19" s="14" t="s">
        <v>97</v>
      </c>
      <c r="K19" s="14" t="s">
        <v>84</v>
      </c>
      <c r="L19" s="14" t="s">
        <v>405</v>
      </c>
      <c r="M19" s="14" t="s">
        <v>152</v>
      </c>
      <c r="N19" s="14" t="s">
        <v>85</v>
      </c>
      <c r="O19" s="14" t="s">
        <v>89</v>
      </c>
      <c r="P19" s="13" t="s">
        <v>153</v>
      </c>
    </row>
    <row r="20" spans="1:16" x14ac:dyDescent="0.25">
      <c r="A20" s="562"/>
      <c r="B20" s="473"/>
      <c r="C20" s="40">
        <v>12</v>
      </c>
      <c r="D20" s="543" t="s">
        <v>406</v>
      </c>
      <c r="E20" s="532"/>
      <c r="F20" s="533"/>
      <c r="G20" s="14" t="s">
        <v>96</v>
      </c>
      <c r="H20" s="14" t="s">
        <v>24</v>
      </c>
      <c r="I20" s="14" t="s">
        <v>25</v>
      </c>
      <c r="J20" s="14" t="s">
        <v>97</v>
      </c>
      <c r="K20" s="14" t="s">
        <v>84</v>
      </c>
      <c r="L20" s="14" t="s">
        <v>405</v>
      </c>
      <c r="M20" s="14" t="s">
        <v>152</v>
      </c>
      <c r="N20" s="14" t="s">
        <v>85</v>
      </c>
      <c r="O20" s="14" t="s">
        <v>89</v>
      </c>
      <c r="P20" s="13" t="s">
        <v>153</v>
      </c>
    </row>
    <row r="21" spans="1:16" x14ac:dyDescent="0.25">
      <c r="A21" s="562"/>
      <c r="B21" s="473"/>
      <c r="C21" s="555">
        <v>13</v>
      </c>
      <c r="D21" s="575" t="s">
        <v>776</v>
      </c>
      <c r="E21" s="549"/>
      <c r="F21" s="550"/>
      <c r="G21" s="10" t="s">
        <v>404</v>
      </c>
      <c r="H21" s="10" t="s">
        <v>77</v>
      </c>
      <c r="I21" s="27" t="s">
        <v>60</v>
      </c>
      <c r="J21" s="10" t="s">
        <v>78</v>
      </c>
      <c r="K21" s="10" t="s">
        <v>78</v>
      </c>
      <c r="L21" s="27" t="s">
        <v>69</v>
      </c>
      <c r="M21" s="10" t="s">
        <v>70</v>
      </c>
      <c r="N21" s="27" t="s">
        <v>79</v>
      </c>
      <c r="O21" s="27" t="s">
        <v>80</v>
      </c>
      <c r="P21" s="21" t="s">
        <v>80</v>
      </c>
    </row>
    <row r="22" spans="1:16" x14ac:dyDescent="0.25">
      <c r="A22" s="562"/>
      <c r="B22" s="473"/>
      <c r="C22" s="555"/>
      <c r="D22" s="576"/>
      <c r="E22" s="552"/>
      <c r="F22" s="553"/>
      <c r="G22" s="29" t="s">
        <v>81</v>
      </c>
      <c r="H22" s="29" t="s">
        <v>82</v>
      </c>
      <c r="I22" s="12" t="s">
        <v>83</v>
      </c>
      <c r="J22" s="29"/>
      <c r="K22" s="29"/>
      <c r="L22" s="12"/>
      <c r="M22" s="29"/>
      <c r="N22" s="12"/>
      <c r="O22" s="12"/>
      <c r="P22" s="33"/>
    </row>
    <row r="23" spans="1:16" x14ac:dyDescent="0.25">
      <c r="A23" s="562"/>
      <c r="B23" s="473"/>
      <c r="C23" s="40">
        <v>14</v>
      </c>
      <c r="D23" s="543" t="s">
        <v>780</v>
      </c>
      <c r="E23" s="532"/>
      <c r="F23" s="533"/>
      <c r="G23" s="14" t="s">
        <v>96</v>
      </c>
      <c r="H23" s="14" t="s">
        <v>24</v>
      </c>
      <c r="I23" s="14" t="s">
        <v>25</v>
      </c>
      <c r="J23" s="14" t="s">
        <v>97</v>
      </c>
      <c r="K23" s="14" t="s">
        <v>84</v>
      </c>
      <c r="L23" s="14" t="s">
        <v>74</v>
      </c>
      <c r="M23" s="14" t="s">
        <v>70</v>
      </c>
      <c r="N23" s="14" t="s">
        <v>85</v>
      </c>
      <c r="O23" s="14" t="s">
        <v>403</v>
      </c>
      <c r="P23" s="13" t="s">
        <v>72</v>
      </c>
    </row>
    <row r="24" spans="1:16" x14ac:dyDescent="0.25">
      <c r="A24" s="562"/>
      <c r="B24" s="473"/>
      <c r="C24" s="555">
        <v>15</v>
      </c>
      <c r="D24" s="575" t="s">
        <v>777</v>
      </c>
      <c r="E24" s="549"/>
      <c r="F24" s="550"/>
      <c r="G24" s="27" t="s">
        <v>463</v>
      </c>
      <c r="H24" s="10" t="s">
        <v>464</v>
      </c>
      <c r="I24" s="27" t="s">
        <v>28</v>
      </c>
      <c r="J24" s="10" t="s">
        <v>28</v>
      </c>
      <c r="K24" s="10" t="s">
        <v>48</v>
      </c>
      <c r="L24" s="10" t="s">
        <v>466</v>
      </c>
      <c r="M24" s="10" t="s">
        <v>467</v>
      </c>
      <c r="N24" s="10" t="s">
        <v>468</v>
      </c>
      <c r="O24" s="27" t="s">
        <v>469</v>
      </c>
      <c r="P24" s="21" t="s">
        <v>469</v>
      </c>
    </row>
    <row r="25" spans="1:16" x14ac:dyDescent="0.25">
      <c r="A25" s="562"/>
      <c r="B25" s="473"/>
      <c r="C25" s="555"/>
      <c r="D25" s="576"/>
      <c r="E25" s="552"/>
      <c r="F25" s="553"/>
      <c r="G25" s="12" t="s">
        <v>86</v>
      </c>
      <c r="H25" s="29"/>
      <c r="I25" s="12" t="s">
        <v>465</v>
      </c>
      <c r="J25" s="29" t="s">
        <v>465</v>
      </c>
      <c r="K25" s="29" t="s">
        <v>465</v>
      </c>
      <c r="L25" s="29" t="s">
        <v>465</v>
      </c>
      <c r="M25" s="29"/>
      <c r="N25" s="29" t="s">
        <v>88</v>
      </c>
      <c r="O25" s="12"/>
      <c r="P25" s="33"/>
    </row>
    <row r="26" spans="1:16" x14ac:dyDescent="0.25">
      <c r="A26" s="562"/>
      <c r="B26" s="473"/>
      <c r="C26" s="40">
        <v>16</v>
      </c>
      <c r="D26" s="543" t="s">
        <v>13</v>
      </c>
      <c r="E26" s="532"/>
      <c r="F26" s="533"/>
      <c r="G26" s="14" t="s">
        <v>96</v>
      </c>
      <c r="H26" s="14" t="s">
        <v>24</v>
      </c>
      <c r="I26" s="14" t="s">
        <v>25</v>
      </c>
      <c r="J26" s="14" t="s">
        <v>97</v>
      </c>
      <c r="K26" s="14" t="s">
        <v>84</v>
      </c>
      <c r="L26" s="14" t="s">
        <v>74</v>
      </c>
      <c r="M26" s="14" t="s">
        <v>70</v>
      </c>
      <c r="N26" s="14" t="s">
        <v>85</v>
      </c>
      <c r="O26" s="14" t="s">
        <v>403</v>
      </c>
      <c r="P26" s="13" t="s">
        <v>72</v>
      </c>
    </row>
    <row r="27" spans="1:16" x14ac:dyDescent="0.25">
      <c r="A27" s="562"/>
      <c r="B27" s="473"/>
      <c r="C27" s="555">
        <v>17</v>
      </c>
      <c r="D27" s="575" t="s">
        <v>14</v>
      </c>
      <c r="E27" s="549"/>
      <c r="F27" s="550"/>
      <c r="G27" s="41"/>
      <c r="H27" s="26"/>
      <c r="I27" s="26"/>
      <c r="J27" s="41"/>
      <c r="K27" s="26"/>
      <c r="L27" s="41"/>
      <c r="M27" s="10" t="s">
        <v>90</v>
      </c>
      <c r="N27" s="27" t="s">
        <v>91</v>
      </c>
      <c r="O27" s="27" t="s">
        <v>92</v>
      </c>
      <c r="P27" s="21" t="s">
        <v>92</v>
      </c>
    </row>
    <row r="28" spans="1:16" ht="15.75" thickBot="1" x14ac:dyDescent="0.3">
      <c r="A28" s="563"/>
      <c r="B28" s="474"/>
      <c r="C28" s="556"/>
      <c r="D28" s="577"/>
      <c r="E28" s="578"/>
      <c r="F28" s="579"/>
      <c r="G28" s="43"/>
      <c r="H28" s="42"/>
      <c r="I28" s="42"/>
      <c r="J28" s="43"/>
      <c r="K28" s="42"/>
      <c r="L28" s="43"/>
      <c r="M28" s="44" t="s">
        <v>93</v>
      </c>
      <c r="N28" s="9" t="s">
        <v>94</v>
      </c>
      <c r="O28" s="9" t="s">
        <v>95</v>
      </c>
      <c r="P28" s="45" t="s">
        <v>95</v>
      </c>
    </row>
    <row r="29" spans="1:16" x14ac:dyDescent="0.25">
      <c r="A29" s="46"/>
      <c r="B29" s="257"/>
      <c r="C29" s="46"/>
      <c r="D29" s="46"/>
      <c r="E29" s="46"/>
      <c r="F29" s="46"/>
      <c r="G29" s="46"/>
      <c r="H29" s="46"/>
      <c r="I29" s="46"/>
      <c r="J29" s="46"/>
      <c r="K29" s="46"/>
      <c r="L29" s="46"/>
      <c r="M29" s="46"/>
      <c r="N29" s="46"/>
      <c r="O29" s="46"/>
      <c r="P29" s="46"/>
    </row>
    <row r="30" spans="1:16" ht="15.75" thickBot="1" x14ac:dyDescent="0.3">
      <c r="A30" s="25"/>
      <c r="B30" s="258"/>
      <c r="C30" s="25"/>
      <c r="D30" s="25"/>
      <c r="E30" s="25"/>
      <c r="F30" s="25"/>
      <c r="G30" s="25"/>
      <c r="H30" s="25"/>
      <c r="I30" s="25"/>
      <c r="J30" s="25"/>
      <c r="K30" s="25"/>
      <c r="L30" s="25"/>
      <c r="M30" s="25"/>
      <c r="N30" s="25"/>
      <c r="O30" s="25"/>
      <c r="P30" s="25"/>
    </row>
    <row r="31" spans="1:16" s="135" customFormat="1" ht="24.75" thickBot="1" x14ac:dyDescent="0.3">
      <c r="A31" s="143" t="s">
        <v>410</v>
      </c>
      <c r="B31" s="259" t="s">
        <v>0</v>
      </c>
      <c r="C31" s="176" t="s">
        <v>445</v>
      </c>
      <c r="D31" s="544" t="s">
        <v>432</v>
      </c>
      <c r="E31" s="580"/>
      <c r="F31" s="144" t="s">
        <v>402</v>
      </c>
      <c r="G31" s="130">
        <v>1</v>
      </c>
      <c r="H31" s="131">
        <v>2</v>
      </c>
      <c r="I31" s="131">
        <v>3</v>
      </c>
      <c r="J31" s="131">
        <v>4</v>
      </c>
      <c r="K31" s="131">
        <v>5</v>
      </c>
      <c r="L31" s="131">
        <v>6</v>
      </c>
      <c r="M31" s="131">
        <v>7</v>
      </c>
      <c r="N31" s="131">
        <v>8</v>
      </c>
      <c r="O31" s="131">
        <v>9</v>
      </c>
      <c r="P31" s="132">
        <v>10</v>
      </c>
    </row>
    <row r="32" spans="1:16" x14ac:dyDescent="0.25">
      <c r="A32" s="591" t="s">
        <v>16</v>
      </c>
      <c r="B32" s="472">
        <v>0.45</v>
      </c>
      <c r="C32" s="67">
        <v>18</v>
      </c>
      <c r="D32" s="588"/>
      <c r="E32" s="159" t="s">
        <v>17</v>
      </c>
      <c r="F32" s="165" t="s">
        <v>401</v>
      </c>
      <c r="G32" s="170" t="s">
        <v>400</v>
      </c>
      <c r="H32" s="171" t="s">
        <v>399</v>
      </c>
      <c r="I32" s="171" t="s">
        <v>379</v>
      </c>
      <c r="J32" s="171" t="s">
        <v>378</v>
      </c>
      <c r="K32" s="171" t="s">
        <v>377</v>
      </c>
      <c r="L32" s="171" t="s">
        <v>398</v>
      </c>
      <c r="M32" s="171" t="s">
        <v>375</v>
      </c>
      <c r="N32" s="171" t="s">
        <v>374</v>
      </c>
      <c r="O32" s="171" t="s">
        <v>373</v>
      </c>
      <c r="P32" s="172" t="s">
        <v>372</v>
      </c>
    </row>
    <row r="33" spans="1:16" ht="15.75" thickBot="1" x14ac:dyDescent="0.3">
      <c r="A33" s="592"/>
      <c r="B33" s="473"/>
      <c r="C33" s="67">
        <v>19</v>
      </c>
      <c r="D33" s="589"/>
      <c r="E33" s="161" t="s">
        <v>870</v>
      </c>
      <c r="F33" s="167" t="s">
        <v>397</v>
      </c>
      <c r="G33" s="164" t="s">
        <v>396</v>
      </c>
      <c r="H33" s="16" t="s">
        <v>395</v>
      </c>
      <c r="I33" s="16">
        <v>0.3</v>
      </c>
      <c r="J33" s="173" t="s">
        <v>394</v>
      </c>
      <c r="K33" s="173" t="s">
        <v>393</v>
      </c>
      <c r="L33" s="16">
        <v>0.5</v>
      </c>
      <c r="M33" s="16">
        <v>0.6</v>
      </c>
      <c r="N33" s="16">
        <v>0.7</v>
      </c>
      <c r="O33" s="16" t="s">
        <v>392</v>
      </c>
      <c r="P33" s="15" t="s">
        <v>371</v>
      </c>
    </row>
    <row r="34" spans="1:16" x14ac:dyDescent="0.25">
      <c r="A34" s="591" t="s">
        <v>18</v>
      </c>
      <c r="B34" s="473"/>
      <c r="C34" s="67">
        <v>20</v>
      </c>
      <c r="D34" s="588"/>
      <c r="E34" s="159" t="s">
        <v>872</v>
      </c>
      <c r="F34" s="165" t="s">
        <v>391</v>
      </c>
      <c r="G34" s="170" t="s">
        <v>390</v>
      </c>
      <c r="H34" s="171" t="s">
        <v>389</v>
      </c>
      <c r="I34" s="171" t="s">
        <v>388</v>
      </c>
      <c r="J34" s="171" t="s">
        <v>387</v>
      </c>
      <c r="K34" s="171" t="s">
        <v>897</v>
      </c>
      <c r="L34" s="171" t="s">
        <v>386</v>
      </c>
      <c r="M34" s="171" t="s">
        <v>385</v>
      </c>
      <c r="N34" s="171" t="s">
        <v>384</v>
      </c>
      <c r="O34" s="171" t="s">
        <v>383</v>
      </c>
      <c r="P34" s="172" t="s">
        <v>382</v>
      </c>
    </row>
    <row r="35" spans="1:16" x14ac:dyDescent="0.25">
      <c r="A35" s="593"/>
      <c r="B35" s="473"/>
      <c r="C35" s="67">
        <v>21</v>
      </c>
      <c r="D35" s="590"/>
      <c r="E35" s="160" t="s">
        <v>874</v>
      </c>
      <c r="F35" s="166" t="s">
        <v>880</v>
      </c>
      <c r="G35" s="163" t="s">
        <v>878</v>
      </c>
      <c r="H35" s="18" t="s">
        <v>879</v>
      </c>
      <c r="I35" s="18" t="s">
        <v>882</v>
      </c>
      <c r="J35" s="18" t="s">
        <v>880</v>
      </c>
      <c r="K35" s="18">
        <f>3</f>
        <v>3</v>
      </c>
      <c r="L35" s="18" t="s">
        <v>883</v>
      </c>
      <c r="M35" s="18" t="s">
        <v>884</v>
      </c>
      <c r="N35" s="18" t="s">
        <v>885</v>
      </c>
      <c r="O35" s="18" t="s">
        <v>886</v>
      </c>
      <c r="P35" s="17" t="s">
        <v>887</v>
      </c>
    </row>
    <row r="36" spans="1:16" x14ac:dyDescent="0.25">
      <c r="A36" s="593"/>
      <c r="B36" s="473"/>
      <c r="C36" s="67">
        <v>22</v>
      </c>
      <c r="D36" s="590"/>
      <c r="E36" s="160" t="s">
        <v>876</v>
      </c>
      <c r="F36" s="166" t="s">
        <v>888</v>
      </c>
      <c r="G36" s="163" t="s">
        <v>889</v>
      </c>
      <c r="H36" s="18" t="s">
        <v>890</v>
      </c>
      <c r="I36" s="18" t="s">
        <v>888</v>
      </c>
      <c r="J36" s="354" t="s">
        <v>891</v>
      </c>
      <c r="K36" s="18" t="s">
        <v>892</v>
      </c>
      <c r="L36" s="18" t="s">
        <v>893</v>
      </c>
      <c r="M36" s="18" t="s">
        <v>894</v>
      </c>
      <c r="N36" s="18" t="s">
        <v>895</v>
      </c>
      <c r="O36" s="18" t="s">
        <v>896</v>
      </c>
      <c r="P36" s="17" t="s">
        <v>898</v>
      </c>
    </row>
    <row r="37" spans="1:16" ht="15.75" thickBot="1" x14ac:dyDescent="0.3">
      <c r="A37" s="592"/>
      <c r="B37" s="473"/>
      <c r="C37" s="67">
        <v>23</v>
      </c>
      <c r="D37" s="589"/>
      <c r="E37" s="161" t="s">
        <v>907</v>
      </c>
      <c r="F37" s="167" t="s">
        <v>401</v>
      </c>
      <c r="G37" s="164" t="s">
        <v>381</v>
      </c>
      <c r="H37" s="16" t="s">
        <v>380</v>
      </c>
      <c r="I37" s="16" t="s">
        <v>379</v>
      </c>
      <c r="J37" s="16" t="s">
        <v>378</v>
      </c>
      <c r="K37" s="16" t="s">
        <v>377</v>
      </c>
      <c r="L37" s="16" t="s">
        <v>376</v>
      </c>
      <c r="M37" s="16" t="s">
        <v>375</v>
      </c>
      <c r="N37" s="16" t="s">
        <v>374</v>
      </c>
      <c r="O37" s="16" t="s">
        <v>373</v>
      </c>
      <c r="P37" s="15" t="s">
        <v>372</v>
      </c>
    </row>
    <row r="38" spans="1:16" ht="15" customHeight="1" x14ac:dyDescent="0.25">
      <c r="A38" s="591" t="s">
        <v>19</v>
      </c>
      <c r="B38" s="473"/>
      <c r="C38" s="67">
        <v>24</v>
      </c>
      <c r="D38" s="588"/>
      <c r="E38" s="159" t="s">
        <v>489</v>
      </c>
      <c r="F38" s="165" t="s">
        <v>916</v>
      </c>
      <c r="G38" s="170" t="s">
        <v>911</v>
      </c>
      <c r="H38" s="171" t="s">
        <v>912</v>
      </c>
      <c r="I38" s="171" t="s">
        <v>913</v>
      </c>
      <c r="J38" s="171" t="s">
        <v>889</v>
      </c>
      <c r="K38" s="171" t="s">
        <v>890</v>
      </c>
      <c r="L38" s="363" t="s">
        <v>914</v>
      </c>
      <c r="M38" s="171" t="s">
        <v>915</v>
      </c>
      <c r="N38" s="171" t="s">
        <v>892</v>
      </c>
      <c r="O38" s="171" t="s">
        <v>894</v>
      </c>
      <c r="P38" s="172" t="s">
        <v>895</v>
      </c>
    </row>
    <row r="39" spans="1:16" x14ac:dyDescent="0.25">
      <c r="A39" s="593"/>
      <c r="B39" s="473"/>
      <c r="C39" s="67">
        <v>25</v>
      </c>
      <c r="D39" s="590"/>
      <c r="E39" s="160" t="s">
        <v>20</v>
      </c>
      <c r="F39" s="166" t="s">
        <v>917</v>
      </c>
      <c r="G39" s="163" t="s">
        <v>919</v>
      </c>
      <c r="H39" s="18" t="s">
        <v>920</v>
      </c>
      <c r="I39" s="18" t="s">
        <v>921</v>
      </c>
      <c r="J39" s="18" t="s">
        <v>922</v>
      </c>
      <c r="K39" s="354" t="s">
        <v>923</v>
      </c>
      <c r="L39" s="18" t="s">
        <v>895</v>
      </c>
      <c r="M39" s="18" t="s">
        <v>924</v>
      </c>
      <c r="N39" s="18" t="s">
        <v>896</v>
      </c>
      <c r="O39" s="18" t="s">
        <v>898</v>
      </c>
      <c r="P39" s="17" t="s">
        <v>925</v>
      </c>
    </row>
    <row r="40" spans="1:16" x14ac:dyDescent="0.25">
      <c r="A40" s="593"/>
      <c r="B40" s="473"/>
      <c r="C40" s="67">
        <v>26</v>
      </c>
      <c r="D40" s="590"/>
      <c r="E40" s="160" t="s">
        <v>980</v>
      </c>
      <c r="F40" s="166" t="s">
        <v>917</v>
      </c>
      <c r="G40" s="163" t="s">
        <v>919</v>
      </c>
      <c r="H40" s="18" t="s">
        <v>920</v>
      </c>
      <c r="I40" s="18" t="s">
        <v>921</v>
      </c>
      <c r="J40" s="18" t="s">
        <v>922</v>
      </c>
      <c r="K40" s="354" t="s">
        <v>923</v>
      </c>
      <c r="L40" s="18" t="s">
        <v>895</v>
      </c>
      <c r="M40" s="18" t="s">
        <v>924</v>
      </c>
      <c r="N40" s="18" t="s">
        <v>896</v>
      </c>
      <c r="O40" s="18" t="s">
        <v>898</v>
      </c>
      <c r="P40" s="17" t="s">
        <v>925</v>
      </c>
    </row>
    <row r="41" spans="1:16" ht="15.75" thickBot="1" x14ac:dyDescent="0.3">
      <c r="A41" s="592"/>
      <c r="B41" s="473"/>
      <c r="C41" s="67">
        <v>27</v>
      </c>
      <c r="D41" s="589"/>
      <c r="E41" s="161" t="s">
        <v>902</v>
      </c>
      <c r="F41" s="167" t="s">
        <v>903</v>
      </c>
      <c r="G41" s="164" t="s">
        <v>381</v>
      </c>
      <c r="H41" s="16" t="s">
        <v>380</v>
      </c>
      <c r="I41" s="16" t="s">
        <v>379</v>
      </c>
      <c r="J41" s="16" t="s">
        <v>378</v>
      </c>
      <c r="K41" s="16" t="s">
        <v>377</v>
      </c>
      <c r="L41" s="16" t="s">
        <v>376</v>
      </c>
      <c r="M41" s="16" t="s">
        <v>375</v>
      </c>
      <c r="N41" s="16" t="s">
        <v>374</v>
      </c>
      <c r="O41" s="16" t="s">
        <v>373</v>
      </c>
      <c r="P41" s="15" t="s">
        <v>372</v>
      </c>
    </row>
    <row r="42" spans="1:16" x14ac:dyDescent="0.25">
      <c r="A42" s="594" t="s">
        <v>21</v>
      </c>
      <c r="B42" s="473"/>
      <c r="C42" s="140">
        <v>28</v>
      </c>
      <c r="D42" s="585"/>
      <c r="E42" s="168" t="s">
        <v>932</v>
      </c>
      <c r="F42" s="169" t="s">
        <v>370</v>
      </c>
      <c r="G42" s="162" t="s">
        <v>351</v>
      </c>
      <c r="H42" s="19" t="s">
        <v>369</v>
      </c>
      <c r="I42" s="19" t="s">
        <v>368</v>
      </c>
      <c r="J42" s="19" t="s">
        <v>367</v>
      </c>
      <c r="K42" s="19" t="s">
        <v>366</v>
      </c>
      <c r="L42" s="19" t="s">
        <v>365</v>
      </c>
      <c r="M42" s="19" t="s">
        <v>364</v>
      </c>
      <c r="N42" s="19" t="s">
        <v>363</v>
      </c>
      <c r="O42" s="19" t="s">
        <v>362</v>
      </c>
      <c r="P42" s="20" t="s">
        <v>360</v>
      </c>
    </row>
    <row r="43" spans="1:16" x14ac:dyDescent="0.25">
      <c r="A43" s="595"/>
      <c r="B43" s="473"/>
      <c r="C43" s="140">
        <v>29</v>
      </c>
      <c r="D43" s="586"/>
      <c r="E43" s="160" t="s">
        <v>936</v>
      </c>
      <c r="F43" s="166" t="s">
        <v>361</v>
      </c>
      <c r="G43" s="163" t="s">
        <v>360</v>
      </c>
      <c r="H43" s="18" t="s">
        <v>359</v>
      </c>
      <c r="I43" s="18" t="s">
        <v>358</v>
      </c>
      <c r="J43" s="18" t="s">
        <v>357</v>
      </c>
      <c r="K43" s="18" t="s">
        <v>356</v>
      </c>
      <c r="L43" s="18" t="s">
        <v>355</v>
      </c>
      <c r="M43" s="18" t="s">
        <v>354</v>
      </c>
      <c r="N43" s="18" t="s">
        <v>353</v>
      </c>
      <c r="O43" s="18" t="s">
        <v>352</v>
      </c>
      <c r="P43" s="17" t="s">
        <v>351</v>
      </c>
    </row>
    <row r="44" spans="1:16" ht="15.75" thickBot="1" x14ac:dyDescent="0.3">
      <c r="A44" s="596"/>
      <c r="B44" s="474"/>
      <c r="C44" s="140">
        <v>30</v>
      </c>
      <c r="D44" s="587"/>
      <c r="E44" s="161" t="s">
        <v>941</v>
      </c>
      <c r="F44" s="167" t="s">
        <v>350</v>
      </c>
      <c r="G44" s="164" t="s">
        <v>349</v>
      </c>
      <c r="H44" s="16" t="s">
        <v>348</v>
      </c>
      <c r="I44" s="16" t="s">
        <v>347</v>
      </c>
      <c r="J44" s="16" t="s">
        <v>346</v>
      </c>
      <c r="K44" s="16" t="s">
        <v>345</v>
      </c>
      <c r="L44" s="16" t="s">
        <v>344</v>
      </c>
      <c r="M44" s="16" t="s">
        <v>343</v>
      </c>
      <c r="N44" s="16" t="s">
        <v>342</v>
      </c>
      <c r="O44" s="16" t="s">
        <v>341</v>
      </c>
      <c r="P44" s="15" t="s">
        <v>340</v>
      </c>
    </row>
    <row r="45" spans="1:16" ht="15.75" thickBot="1" x14ac:dyDescent="0.3">
      <c r="A45" s="141"/>
      <c r="B45" s="253"/>
      <c r="C45" s="142"/>
      <c r="D45" s="47"/>
      <c r="E45" s="47"/>
      <c r="F45" s="47"/>
      <c r="G45" s="47"/>
      <c r="H45" s="47"/>
      <c r="I45" s="47"/>
      <c r="J45" s="47"/>
      <c r="K45" s="47"/>
      <c r="L45" s="47"/>
      <c r="M45" s="47"/>
      <c r="N45" s="47"/>
      <c r="O45" s="47"/>
      <c r="P45" s="48"/>
    </row>
    <row r="46" spans="1:16" x14ac:dyDescent="0.25">
      <c r="A46" s="581" t="s">
        <v>981</v>
      </c>
      <c r="B46" s="472">
        <v>0.25</v>
      </c>
      <c r="C46" s="49">
        <v>31</v>
      </c>
      <c r="D46" s="558" t="s">
        <v>499</v>
      </c>
      <c r="E46" s="559"/>
      <c r="F46" s="560"/>
      <c r="G46" s="279" t="s">
        <v>339</v>
      </c>
      <c r="H46" s="279" t="s">
        <v>338</v>
      </c>
      <c r="I46" s="279" t="s">
        <v>337</v>
      </c>
      <c r="J46" s="279" t="s">
        <v>337</v>
      </c>
      <c r="K46" s="279" t="s">
        <v>336</v>
      </c>
      <c r="L46" s="279" t="s">
        <v>335</v>
      </c>
      <c r="M46" s="279" t="s">
        <v>334</v>
      </c>
      <c r="N46" s="279" t="s">
        <v>333</v>
      </c>
      <c r="O46" s="279" t="s">
        <v>332</v>
      </c>
      <c r="P46" s="13" t="s">
        <v>332</v>
      </c>
    </row>
    <row r="47" spans="1:16" x14ac:dyDescent="0.25">
      <c r="A47" s="582"/>
      <c r="B47" s="473"/>
      <c r="C47" s="30">
        <v>32</v>
      </c>
      <c r="D47" s="572" t="s">
        <v>982</v>
      </c>
      <c r="E47" s="573"/>
      <c r="F47" s="574"/>
      <c r="G47" s="279" t="s">
        <v>96</v>
      </c>
      <c r="H47" s="279" t="s">
        <v>24</v>
      </c>
      <c r="I47" s="279" t="s">
        <v>25</v>
      </c>
      <c r="J47" s="279" t="s">
        <v>97</v>
      </c>
      <c r="K47" s="279" t="s">
        <v>84</v>
      </c>
      <c r="L47" s="279" t="s">
        <v>405</v>
      </c>
      <c r="M47" s="279" t="s">
        <v>152</v>
      </c>
      <c r="N47" s="279" t="s">
        <v>85</v>
      </c>
      <c r="O47" s="279" t="s">
        <v>89</v>
      </c>
      <c r="P47" s="13" t="s">
        <v>153</v>
      </c>
    </row>
    <row r="48" spans="1:16" x14ac:dyDescent="0.25">
      <c r="A48" s="582"/>
      <c r="B48" s="473"/>
      <c r="C48" s="557">
        <v>33</v>
      </c>
      <c r="D48" s="575" t="s">
        <v>977</v>
      </c>
      <c r="E48" s="549"/>
      <c r="F48" s="550"/>
      <c r="G48" s="10" t="s">
        <v>98</v>
      </c>
      <c r="H48" s="10" t="s">
        <v>99</v>
      </c>
      <c r="I48" s="10" t="s">
        <v>100</v>
      </c>
      <c r="J48" s="10" t="s">
        <v>331</v>
      </c>
      <c r="K48" s="10" t="s">
        <v>331</v>
      </c>
      <c r="L48" s="10" t="s">
        <v>330</v>
      </c>
      <c r="M48" s="27" t="s">
        <v>329</v>
      </c>
      <c r="N48" s="10" t="s">
        <v>101</v>
      </c>
      <c r="O48" s="27" t="s">
        <v>37</v>
      </c>
      <c r="P48" s="28" t="s">
        <v>37</v>
      </c>
    </row>
    <row r="49" spans="1:23" x14ac:dyDescent="0.25">
      <c r="A49" s="582"/>
      <c r="B49" s="473"/>
      <c r="C49" s="557"/>
      <c r="D49" s="576"/>
      <c r="E49" s="552"/>
      <c r="F49" s="553"/>
      <c r="G49" s="29" t="s">
        <v>102</v>
      </c>
      <c r="H49" s="571" t="s">
        <v>103</v>
      </c>
      <c r="I49" s="571"/>
      <c r="J49" s="571"/>
      <c r="K49" s="571"/>
      <c r="L49" s="29" t="s">
        <v>104</v>
      </c>
      <c r="M49" s="12" t="s">
        <v>105</v>
      </c>
      <c r="N49" s="29" t="s">
        <v>106</v>
      </c>
      <c r="O49" s="12" t="s">
        <v>328</v>
      </c>
      <c r="P49" s="11" t="s">
        <v>328</v>
      </c>
    </row>
    <row r="50" spans="1:23" x14ac:dyDescent="0.25">
      <c r="A50" s="582"/>
      <c r="B50" s="473"/>
      <c r="C50" s="557">
        <v>34</v>
      </c>
      <c r="D50" s="575" t="s">
        <v>978</v>
      </c>
      <c r="E50" s="549"/>
      <c r="F50" s="550"/>
      <c r="G50" s="27" t="s">
        <v>107</v>
      </c>
      <c r="H50" s="10" t="s">
        <v>108</v>
      </c>
      <c r="I50" s="10" t="s">
        <v>109</v>
      </c>
      <c r="J50" s="27" t="s">
        <v>109</v>
      </c>
      <c r="K50" s="27" t="s">
        <v>754</v>
      </c>
      <c r="L50" s="27" t="s">
        <v>754</v>
      </c>
      <c r="M50" s="27" t="s">
        <v>754</v>
      </c>
      <c r="N50" s="27" t="s">
        <v>755</v>
      </c>
      <c r="O50" s="27" t="s">
        <v>757</v>
      </c>
      <c r="P50" s="27" t="s">
        <v>759</v>
      </c>
    </row>
    <row r="51" spans="1:23" ht="15.75" thickBot="1" x14ac:dyDescent="0.3">
      <c r="A51" s="583"/>
      <c r="B51" s="474"/>
      <c r="C51" s="584"/>
      <c r="D51" s="577"/>
      <c r="E51" s="578"/>
      <c r="F51" s="579"/>
      <c r="G51" s="9" t="s">
        <v>110</v>
      </c>
      <c r="H51" s="44" t="s">
        <v>111</v>
      </c>
      <c r="I51" s="44"/>
      <c r="J51" s="9"/>
      <c r="K51" s="9" t="s">
        <v>200</v>
      </c>
      <c r="L51" s="9" t="s">
        <v>124</v>
      </c>
      <c r="M51" s="9" t="s">
        <v>150</v>
      </c>
      <c r="N51" s="9" t="s">
        <v>756</v>
      </c>
      <c r="O51" s="12" t="s">
        <v>758</v>
      </c>
      <c r="P51" s="12" t="s">
        <v>760</v>
      </c>
    </row>
    <row r="52" spans="1:23" ht="15.75" thickBot="1" x14ac:dyDescent="0.3">
      <c r="A52" s="46"/>
      <c r="B52" s="257"/>
      <c r="C52" s="24"/>
      <c r="D52" s="50"/>
      <c r="E52" s="50"/>
      <c r="F52" s="24"/>
      <c r="G52" s="51"/>
      <c r="H52" s="51"/>
      <c r="I52" s="51"/>
      <c r="J52" s="51"/>
      <c r="K52" s="51"/>
      <c r="L52" s="51"/>
      <c r="M52" s="51"/>
      <c r="N52" s="51"/>
      <c r="O52" s="51"/>
      <c r="P52" s="51"/>
    </row>
    <row r="53" spans="1:23" s="150" customFormat="1" ht="16.5" thickBot="1" x14ac:dyDescent="0.3">
      <c r="A53" s="199"/>
      <c r="B53" s="260"/>
      <c r="C53" s="537" t="s">
        <v>447</v>
      </c>
      <c r="D53" s="538"/>
      <c r="E53" s="538"/>
      <c r="F53" s="539"/>
      <c r="G53" s="200">
        <v>1</v>
      </c>
      <c r="H53" s="201">
        <v>2</v>
      </c>
      <c r="I53" s="201">
        <v>3</v>
      </c>
      <c r="J53" s="201">
        <v>4</v>
      </c>
      <c r="K53" s="201">
        <v>5</v>
      </c>
      <c r="L53" s="201">
        <v>6</v>
      </c>
      <c r="M53" s="201">
        <v>7</v>
      </c>
      <c r="N53" s="201">
        <v>8</v>
      </c>
      <c r="O53" s="201">
        <v>9</v>
      </c>
      <c r="P53" s="201">
        <v>10</v>
      </c>
    </row>
    <row r="54" spans="1:23" s="150" customFormat="1" ht="15.75" thickBot="1" x14ac:dyDescent="0.3">
      <c r="A54" s="199"/>
      <c r="B54" s="260"/>
      <c r="C54" s="537" t="s">
        <v>327</v>
      </c>
      <c r="D54" s="538"/>
      <c r="E54" s="538"/>
      <c r="F54" s="539"/>
      <c r="G54" s="202" t="s">
        <v>112</v>
      </c>
      <c r="H54" s="203" t="s">
        <v>113</v>
      </c>
      <c r="I54" s="203" t="s">
        <v>114</v>
      </c>
      <c r="J54" s="203" t="s">
        <v>115</v>
      </c>
      <c r="K54" s="203" t="s">
        <v>116</v>
      </c>
      <c r="L54" s="203" t="s">
        <v>117</v>
      </c>
      <c r="M54" s="203" t="s">
        <v>118</v>
      </c>
      <c r="N54" s="203" t="s">
        <v>119</v>
      </c>
      <c r="O54" s="203" t="s">
        <v>120</v>
      </c>
      <c r="P54" s="204" t="s">
        <v>430</v>
      </c>
    </row>
    <row r="55" spans="1:23" s="150" customFormat="1" ht="15.75" thickBot="1" x14ac:dyDescent="0.3">
      <c r="B55" s="261"/>
      <c r="C55" s="205"/>
      <c r="D55" s="205"/>
      <c r="E55" s="205"/>
      <c r="F55" s="205"/>
    </row>
    <row r="56" spans="1:23" s="206" customFormat="1" ht="15.75" thickBot="1" x14ac:dyDescent="0.3">
      <c r="B56" s="262"/>
      <c r="C56" s="537" t="s">
        <v>448</v>
      </c>
      <c r="D56" s="538"/>
      <c r="E56" s="538"/>
      <c r="F56" s="539"/>
      <c r="G56" s="207" t="s">
        <v>749</v>
      </c>
      <c r="H56" s="207" t="s">
        <v>750</v>
      </c>
      <c r="I56" s="207" t="s">
        <v>751</v>
      </c>
      <c r="J56" s="207" t="s">
        <v>425</v>
      </c>
      <c r="K56" s="207" t="s">
        <v>426</v>
      </c>
      <c r="L56" s="207" t="s">
        <v>427</v>
      </c>
      <c r="M56" s="207" t="s">
        <v>428</v>
      </c>
      <c r="N56" s="207" t="s">
        <v>429</v>
      </c>
      <c r="O56" s="207" t="s">
        <v>752</v>
      </c>
      <c r="P56" s="285" t="s">
        <v>753</v>
      </c>
      <c r="Q56" s="287"/>
      <c r="R56" s="287"/>
      <c r="S56" s="287"/>
      <c r="T56" s="287"/>
      <c r="U56" s="287"/>
      <c r="V56" s="287"/>
      <c r="W56" s="287"/>
    </row>
    <row r="57" spans="1:23" s="150" customFormat="1" x14ac:dyDescent="0.25">
      <c r="B57" s="261"/>
      <c r="C57" s="554" t="s">
        <v>449</v>
      </c>
      <c r="D57" s="554"/>
      <c r="E57" s="554"/>
      <c r="F57" s="554"/>
      <c r="G57" s="207" t="s">
        <v>508</v>
      </c>
      <c r="H57" s="207" t="s">
        <v>509</v>
      </c>
      <c r="I57" s="207" t="s">
        <v>510</v>
      </c>
      <c r="J57" s="208" t="s">
        <v>511</v>
      </c>
      <c r="K57" s="208" t="s">
        <v>512</v>
      </c>
      <c r="L57" s="208" t="s">
        <v>513</v>
      </c>
      <c r="M57" s="208" t="s">
        <v>514</v>
      </c>
      <c r="N57" s="208" t="s">
        <v>515</v>
      </c>
      <c r="O57" s="208" t="s">
        <v>516</v>
      </c>
      <c r="P57" s="286" t="s">
        <v>517</v>
      </c>
      <c r="Q57" s="288"/>
      <c r="R57" s="288"/>
      <c r="S57" s="288"/>
      <c r="T57" s="288"/>
      <c r="U57" s="288"/>
      <c r="V57" s="288"/>
      <c r="W57" s="288"/>
    </row>
    <row r="59" spans="1:23" x14ac:dyDescent="0.25">
      <c r="A59" s="281" t="s">
        <v>715</v>
      </c>
    </row>
  </sheetData>
  <mergeCells count="53">
    <mergeCell ref="A46:A51"/>
    <mergeCell ref="C50:C51"/>
    <mergeCell ref="D42:D44"/>
    <mergeCell ref="D32:D33"/>
    <mergeCell ref="D34:D37"/>
    <mergeCell ref="D50:F51"/>
    <mergeCell ref="B46:B51"/>
    <mergeCell ref="D38:D41"/>
    <mergeCell ref="A32:A33"/>
    <mergeCell ref="A34:A37"/>
    <mergeCell ref="A38:A41"/>
    <mergeCell ref="A42:A44"/>
    <mergeCell ref="D11:F12"/>
    <mergeCell ref="H49:K49"/>
    <mergeCell ref="D47:F47"/>
    <mergeCell ref="D48:F49"/>
    <mergeCell ref="D21:F22"/>
    <mergeCell ref="D23:F23"/>
    <mergeCell ref="D24:F25"/>
    <mergeCell ref="D26:F26"/>
    <mergeCell ref="D27:F28"/>
    <mergeCell ref="D31:E31"/>
    <mergeCell ref="A16:A28"/>
    <mergeCell ref="C21:C22"/>
    <mergeCell ref="B32:B44"/>
    <mergeCell ref="A5:A14"/>
    <mergeCell ref="B5:B14"/>
    <mergeCell ref="C6:C7"/>
    <mergeCell ref="C9:C10"/>
    <mergeCell ref="C11:C12"/>
    <mergeCell ref="C57:F57"/>
    <mergeCell ref="C53:F53"/>
    <mergeCell ref="C54:F54"/>
    <mergeCell ref="C24:C25"/>
    <mergeCell ref="C27:C28"/>
    <mergeCell ref="C48:C49"/>
    <mergeCell ref="D46:F46"/>
    <mergeCell ref="B2:E2"/>
    <mergeCell ref="B1:E1"/>
    <mergeCell ref="D13:F13"/>
    <mergeCell ref="D14:F14"/>
    <mergeCell ref="C56:F56"/>
    <mergeCell ref="D16:F16"/>
    <mergeCell ref="D17:F17"/>
    <mergeCell ref="D18:F18"/>
    <mergeCell ref="D19:F19"/>
    <mergeCell ref="D20:F20"/>
    <mergeCell ref="B16:B28"/>
    <mergeCell ref="D4:F4"/>
    <mergeCell ref="D5:F5"/>
    <mergeCell ref="D6:F7"/>
    <mergeCell ref="D8:F8"/>
    <mergeCell ref="D9:F10"/>
  </mergeCells>
  <pageMargins left="0.7" right="0.7" top="0.75" bottom="0.75" header="0.3" footer="0.3"/>
  <pageSetup paperSize="9" orientation="portrait"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showGridLines="0" workbookViewId="0">
      <selection activeCell="D9" sqref="D9"/>
    </sheetView>
  </sheetViews>
  <sheetFormatPr baseColWidth="10" defaultColWidth="11.42578125" defaultRowHeight="15" x14ac:dyDescent="0.25"/>
  <cols>
    <col min="1" max="1" width="35.28515625" customWidth="1"/>
    <col min="2" max="2" width="21.42578125" customWidth="1"/>
    <col min="3" max="3" width="31" customWidth="1"/>
    <col min="4" max="4" width="31.5703125" customWidth="1"/>
  </cols>
  <sheetData>
    <row r="1" spans="1:4" ht="16.5" thickBot="1" x14ac:dyDescent="0.3">
      <c r="A1" s="597" t="s">
        <v>412</v>
      </c>
      <c r="B1" s="598"/>
      <c r="C1" s="598"/>
      <c r="D1" s="599"/>
    </row>
    <row r="2" spans="1:4" ht="48.75" thickBot="1" x14ac:dyDescent="0.3">
      <c r="A2" s="53" t="s">
        <v>413</v>
      </c>
      <c r="B2" s="54" t="s">
        <v>414</v>
      </c>
      <c r="C2" s="54" t="s">
        <v>415</v>
      </c>
      <c r="D2" s="55" t="s">
        <v>416</v>
      </c>
    </row>
    <row r="3" spans="1:4" x14ac:dyDescent="0.25">
      <c r="A3" s="56" t="s">
        <v>417</v>
      </c>
      <c r="B3" s="57" t="s">
        <v>418</v>
      </c>
      <c r="C3" s="58" t="s">
        <v>419</v>
      </c>
      <c r="D3" s="59" t="s">
        <v>420</v>
      </c>
    </row>
    <row r="4" spans="1:4" ht="15.75" thickBot="1" x14ac:dyDescent="0.3">
      <c r="A4" s="60" t="s">
        <v>421</v>
      </c>
      <c r="B4" s="61" t="s">
        <v>422</v>
      </c>
      <c r="C4" s="62" t="s">
        <v>423</v>
      </c>
      <c r="D4" s="63" t="s">
        <v>424</v>
      </c>
    </row>
    <row r="8" spans="1:4" x14ac:dyDescent="0.25">
      <c r="A8" s="6" t="s">
        <v>716</v>
      </c>
      <c r="B8" s="6" t="s">
        <v>717</v>
      </c>
      <c r="C8" s="282" t="s">
        <v>718</v>
      </c>
    </row>
    <row r="9" spans="1:4" ht="60" x14ac:dyDescent="0.25">
      <c r="A9" s="283">
        <v>1</v>
      </c>
      <c r="B9" s="284" t="str">
        <f>'GRILLE SOUCHE'!G5</f>
        <v>Très significatif</v>
      </c>
      <c r="C9" s="127" t="s">
        <v>719</v>
      </c>
    </row>
    <row r="10" spans="1:4" ht="45" x14ac:dyDescent="0.25">
      <c r="A10" s="283">
        <v>2</v>
      </c>
      <c r="B10" s="284" t="str">
        <f>'GRILLE SOUCHE'!H5</f>
        <v>Significatif</v>
      </c>
      <c r="C10" s="127" t="s">
        <v>720</v>
      </c>
    </row>
    <row r="11" spans="1:4" ht="45" x14ac:dyDescent="0.25">
      <c r="A11" s="283">
        <v>3</v>
      </c>
      <c r="B11" s="284" t="str">
        <f>'GRILLE SOUCHE'!I5</f>
        <v>Bon</v>
      </c>
      <c r="C11" s="127" t="s">
        <v>721</v>
      </c>
    </row>
    <row r="12" spans="1:4" ht="45" x14ac:dyDescent="0.25">
      <c r="A12" s="283">
        <v>4</v>
      </c>
      <c r="B12" s="284" t="str">
        <f>'GRILLE SOUCHE'!J5</f>
        <v>Plutôt Bon</v>
      </c>
      <c r="C12" s="127" t="s">
        <v>722</v>
      </c>
    </row>
    <row r="13" spans="1:4" ht="30" x14ac:dyDescent="0.25">
      <c r="A13" s="283">
        <v>5</v>
      </c>
      <c r="B13" s="284" t="str">
        <f>'GRILLE SOUCHE'!K5</f>
        <v>Moyen</v>
      </c>
      <c r="C13" s="127" t="s">
        <v>723</v>
      </c>
    </row>
    <row r="14" spans="1:4" ht="30" x14ac:dyDescent="0.25">
      <c r="A14" s="283">
        <v>6</v>
      </c>
      <c r="B14" s="284" t="str">
        <f>'GRILLE SOUCHE'!L5</f>
        <v>Plutôt Moyen</v>
      </c>
      <c r="C14" s="127" t="s">
        <v>724</v>
      </c>
    </row>
    <row r="15" spans="1:4" ht="45" x14ac:dyDescent="0.25">
      <c r="A15" s="283">
        <v>7</v>
      </c>
      <c r="B15" s="284" t="str">
        <f>'GRILLE SOUCHE'!M5</f>
        <v>Faible</v>
      </c>
      <c r="C15" s="127" t="s">
        <v>725</v>
      </c>
    </row>
    <row r="16" spans="1:4" ht="45" x14ac:dyDescent="0.25">
      <c r="A16" s="283">
        <v>8</v>
      </c>
      <c r="B16" s="284" t="str">
        <f>'GRILLE SOUCHE'!N5</f>
        <v>Limité</v>
      </c>
      <c r="C16" s="127" t="s">
        <v>726</v>
      </c>
    </row>
    <row r="17" spans="1:3" ht="30" x14ac:dyDescent="0.25">
      <c r="A17" s="283">
        <v>9</v>
      </c>
      <c r="B17" s="284" t="str">
        <f>'GRILLE SOUCHE'!O5</f>
        <v>Mauvais</v>
      </c>
      <c r="C17" s="127" t="s">
        <v>727</v>
      </c>
    </row>
    <row r="18" spans="1:3" ht="30" x14ac:dyDescent="0.25">
      <c r="A18" s="283">
        <v>10</v>
      </c>
      <c r="B18" s="284" t="str">
        <f>'GRILLE SOUCHE'!P5</f>
        <v>Très Mauvais</v>
      </c>
      <c r="C18" s="127" t="s">
        <v>728</v>
      </c>
    </row>
  </sheetData>
  <mergeCells count="1">
    <mergeCell ref="A1:D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showGridLines="0" workbookViewId="0">
      <selection activeCell="A5" sqref="A5"/>
    </sheetView>
  </sheetViews>
  <sheetFormatPr baseColWidth="10" defaultColWidth="11.42578125" defaultRowHeight="15" x14ac:dyDescent="0.25"/>
  <cols>
    <col min="1" max="1" width="80.5703125" customWidth="1"/>
    <col min="2" max="2" width="4.140625" customWidth="1"/>
    <col min="3" max="3" width="80.28515625" customWidth="1"/>
  </cols>
  <sheetData>
    <row r="1" spans="1:3" ht="15.75" x14ac:dyDescent="0.25">
      <c r="A1" s="121" t="s">
        <v>748</v>
      </c>
    </row>
    <row r="2" spans="1:3" x14ac:dyDescent="0.25">
      <c r="A2" s="122" t="s">
        <v>441</v>
      </c>
    </row>
    <row r="3" spans="1:3" ht="119.25" customHeight="1" x14ac:dyDescent="0.25">
      <c r="A3" s="127" t="s">
        <v>738</v>
      </c>
      <c r="B3" s="1"/>
      <c r="C3" s="127" t="s">
        <v>740</v>
      </c>
    </row>
    <row r="4" spans="1:3" x14ac:dyDescent="0.25">
      <c r="A4" s="1"/>
      <c r="B4" s="1"/>
      <c r="C4" s="1"/>
    </row>
    <row r="5" spans="1:3" ht="135" x14ac:dyDescent="0.25">
      <c r="A5" s="127" t="s">
        <v>739</v>
      </c>
      <c r="B5" s="1"/>
      <c r="C5" s="128" t="s">
        <v>741</v>
      </c>
    </row>
    <row r="6" spans="1:3" x14ac:dyDescent="0.25">
      <c r="A6" s="1"/>
      <c r="B6" s="1"/>
      <c r="C6" s="1"/>
    </row>
    <row r="7" spans="1:3" ht="135" x14ac:dyDescent="0.25">
      <c r="A7" s="128" t="s">
        <v>745</v>
      </c>
      <c r="B7" s="1"/>
      <c r="C7" s="127" t="s">
        <v>742</v>
      </c>
    </row>
    <row r="8" spans="1:3" x14ac:dyDescent="0.25">
      <c r="A8" s="1"/>
      <c r="B8" s="1"/>
      <c r="C8" s="1"/>
    </row>
    <row r="9" spans="1:3" ht="120" x14ac:dyDescent="0.25">
      <c r="A9" s="128" t="s">
        <v>746</v>
      </c>
      <c r="B9" s="1"/>
      <c r="C9" s="127" t="s">
        <v>744</v>
      </c>
    </row>
    <row r="10" spans="1:3" x14ac:dyDescent="0.25">
      <c r="A10" s="1"/>
      <c r="B10" s="1"/>
      <c r="C10" s="1"/>
    </row>
    <row r="11" spans="1:3" ht="150" x14ac:dyDescent="0.25">
      <c r="A11" s="128" t="s">
        <v>747</v>
      </c>
      <c r="B11" s="1"/>
      <c r="C11" s="127" t="s">
        <v>743</v>
      </c>
    </row>
    <row r="13" spans="1:3" x14ac:dyDescent="0.25">
      <c r="A13" s="125"/>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showGridLines="0" workbookViewId="0"/>
  </sheetViews>
  <sheetFormatPr baseColWidth="10" defaultColWidth="9.140625" defaultRowHeight="15" x14ac:dyDescent="0.25"/>
  <cols>
    <col min="1" max="1" width="70.85546875" customWidth="1"/>
    <col min="2" max="2" width="8.7109375" customWidth="1"/>
    <col min="3" max="3" width="9.140625" customWidth="1"/>
  </cols>
  <sheetData>
    <row r="1" spans="1:2" x14ac:dyDescent="0.25">
      <c r="A1" s="125" t="s">
        <v>737</v>
      </c>
    </row>
    <row r="2" spans="1:2" x14ac:dyDescent="0.25">
      <c r="A2" s="125" t="s">
        <v>441</v>
      </c>
    </row>
    <row r="4" spans="1:2" ht="45" x14ac:dyDescent="0.25">
      <c r="A4" s="126" t="s">
        <v>729</v>
      </c>
      <c r="B4" s="124"/>
    </row>
    <row r="5" spans="1:2" x14ac:dyDescent="0.25">
      <c r="A5" s="126"/>
      <c r="B5" s="124"/>
    </row>
    <row r="6" spans="1:2" ht="45" x14ac:dyDescent="0.25">
      <c r="A6" s="126" t="s">
        <v>730</v>
      </c>
      <c r="B6" s="124"/>
    </row>
    <row r="7" spans="1:2" x14ac:dyDescent="0.25">
      <c r="A7" s="126"/>
      <c r="B7" s="124"/>
    </row>
    <row r="8" spans="1:2" ht="45" x14ac:dyDescent="0.25">
      <c r="A8" s="126" t="s">
        <v>731</v>
      </c>
      <c r="B8" s="124"/>
    </row>
    <row r="9" spans="1:2" x14ac:dyDescent="0.25">
      <c r="A9" s="126"/>
      <c r="B9" s="124"/>
    </row>
    <row r="10" spans="1:2" ht="45" x14ac:dyDescent="0.25">
      <c r="A10" s="126" t="s">
        <v>732</v>
      </c>
      <c r="B10" s="124"/>
    </row>
    <row r="11" spans="1:2" x14ac:dyDescent="0.25">
      <c r="A11" s="126"/>
      <c r="B11" s="124"/>
    </row>
    <row r="12" spans="1:2" ht="45" x14ac:dyDescent="0.25">
      <c r="A12" s="126" t="s">
        <v>733</v>
      </c>
      <c r="B12" s="124"/>
    </row>
    <row r="13" spans="1:2" x14ac:dyDescent="0.25">
      <c r="A13" s="126"/>
      <c r="B13" s="124"/>
    </row>
    <row r="14" spans="1:2" ht="45" x14ac:dyDescent="0.25">
      <c r="A14" s="126" t="s">
        <v>734</v>
      </c>
      <c r="B14" s="124"/>
    </row>
    <row r="15" spans="1:2" x14ac:dyDescent="0.25">
      <c r="A15" s="126"/>
      <c r="B15" s="124"/>
    </row>
    <row r="16" spans="1:2" ht="45" x14ac:dyDescent="0.25">
      <c r="A16" s="126" t="s">
        <v>735</v>
      </c>
      <c r="B16" s="124"/>
    </row>
    <row r="17" spans="1:2" x14ac:dyDescent="0.25">
      <c r="A17" s="126"/>
      <c r="B17" s="124"/>
    </row>
    <row r="18" spans="1:2" ht="45" x14ac:dyDescent="0.25">
      <c r="A18" s="126" t="s">
        <v>736</v>
      </c>
      <c r="B18" s="124"/>
    </row>
    <row r="19" spans="1:2" x14ac:dyDescent="0.25">
      <c r="A19" s="123"/>
    </row>
    <row r="20" spans="1:2" x14ac:dyDescent="0.25">
      <c r="A20" s="129"/>
    </row>
    <row r="21" spans="1:2" x14ac:dyDescent="0.25">
      <c r="A21" s="1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topLeftCell="A34" workbookViewId="0">
      <selection activeCell="D38" sqref="D38"/>
    </sheetView>
  </sheetViews>
  <sheetFormatPr baseColWidth="10" defaultColWidth="11.42578125" defaultRowHeight="15" x14ac:dyDescent="0.25"/>
  <cols>
    <col min="1" max="1" width="14.42578125" style="152" customWidth="1"/>
    <col min="2" max="2" width="11.42578125" style="223"/>
    <col min="3" max="3" width="33.42578125" style="116" customWidth="1"/>
    <col min="4" max="4" width="81.42578125" style="116" customWidth="1"/>
    <col min="5" max="16384" width="11.42578125" style="198"/>
  </cols>
  <sheetData>
    <row r="1" spans="1:4" x14ac:dyDescent="0.25">
      <c r="A1" s="152" t="s">
        <v>490</v>
      </c>
    </row>
    <row r="2" spans="1:4" s="210" customFormat="1" x14ac:dyDescent="0.25">
      <c r="A2" s="209" t="s">
        <v>491</v>
      </c>
      <c r="B2" s="223"/>
      <c r="C2" s="116"/>
      <c r="D2" s="116"/>
    </row>
    <row r="3" spans="1:4" s="151" customFormat="1" ht="24.75" thickBot="1" x14ac:dyDescent="0.3">
      <c r="A3" s="174" t="s">
        <v>1</v>
      </c>
      <c r="B3" s="177" t="s">
        <v>445</v>
      </c>
      <c r="C3" s="211" t="s">
        <v>432</v>
      </c>
      <c r="D3" s="175" t="s">
        <v>462</v>
      </c>
    </row>
    <row r="4" spans="1:4" ht="30" x14ac:dyDescent="0.25">
      <c r="A4" s="600" t="s">
        <v>2</v>
      </c>
      <c r="B4" s="193">
        <v>1</v>
      </c>
      <c r="C4" s="184" t="s">
        <v>446</v>
      </c>
      <c r="D4" s="179" t="s">
        <v>493</v>
      </c>
    </row>
    <row r="5" spans="1:4" ht="30" x14ac:dyDescent="0.25">
      <c r="A5" s="601"/>
      <c r="B5" s="178">
        <v>2</v>
      </c>
      <c r="C5" s="186" t="s">
        <v>453</v>
      </c>
      <c r="D5" s="180" t="s">
        <v>495</v>
      </c>
    </row>
    <row r="6" spans="1:4" ht="45.75" thickBot="1" x14ac:dyDescent="0.3">
      <c r="A6" s="601"/>
      <c r="B6" s="178">
        <v>3</v>
      </c>
      <c r="C6" s="186" t="s">
        <v>4</v>
      </c>
      <c r="D6" s="181" t="s">
        <v>494</v>
      </c>
    </row>
    <row r="7" spans="1:4" ht="45" x14ac:dyDescent="0.25">
      <c r="A7" s="601"/>
      <c r="B7" s="178">
        <v>4</v>
      </c>
      <c r="C7" s="186" t="s">
        <v>5</v>
      </c>
      <c r="D7" s="179" t="s">
        <v>496</v>
      </c>
    </row>
    <row r="8" spans="1:4" ht="45" x14ac:dyDescent="0.25">
      <c r="A8" s="601"/>
      <c r="B8" s="178">
        <v>5</v>
      </c>
      <c r="C8" s="186" t="s">
        <v>6</v>
      </c>
      <c r="D8" s="180" t="s">
        <v>497</v>
      </c>
    </row>
    <row r="9" spans="1:4" ht="30" x14ac:dyDescent="0.25">
      <c r="A9" s="601"/>
      <c r="B9" s="178">
        <v>6</v>
      </c>
      <c r="C9" s="186" t="s">
        <v>7</v>
      </c>
      <c r="D9" s="182" t="s">
        <v>498</v>
      </c>
    </row>
    <row r="10" spans="1:4" ht="45.75" thickBot="1" x14ac:dyDescent="0.3">
      <c r="A10" s="602"/>
      <c r="B10" s="194">
        <v>7</v>
      </c>
      <c r="C10" s="212" t="s">
        <v>8</v>
      </c>
      <c r="D10" s="183" t="s">
        <v>492</v>
      </c>
    </row>
    <row r="11" spans="1:4" ht="127.5" x14ac:dyDescent="0.25">
      <c r="A11" s="600" t="s">
        <v>436</v>
      </c>
      <c r="B11" s="191">
        <v>8</v>
      </c>
      <c r="C11" s="213" t="s">
        <v>170</v>
      </c>
      <c r="D11" s="265" t="s">
        <v>518</v>
      </c>
    </row>
    <row r="12" spans="1:4" ht="60" x14ac:dyDescent="0.25">
      <c r="A12" s="601"/>
      <c r="B12" s="189">
        <v>9</v>
      </c>
      <c r="C12" s="214" t="s">
        <v>440</v>
      </c>
      <c r="D12" s="224" t="s">
        <v>500</v>
      </c>
    </row>
    <row r="13" spans="1:4" ht="45" x14ac:dyDescent="0.25">
      <c r="A13" s="601"/>
      <c r="B13" s="189">
        <v>10</v>
      </c>
      <c r="C13" s="214" t="s">
        <v>439</v>
      </c>
      <c r="D13" s="185" t="s">
        <v>501</v>
      </c>
    </row>
    <row r="14" spans="1:4" ht="30" x14ac:dyDescent="0.25">
      <c r="A14" s="601"/>
      <c r="B14" s="189">
        <v>11</v>
      </c>
      <c r="C14" s="214" t="s">
        <v>10</v>
      </c>
      <c r="D14" s="185" t="s">
        <v>502</v>
      </c>
    </row>
    <row r="15" spans="1:4" ht="45" x14ac:dyDescent="0.25">
      <c r="A15" s="601"/>
      <c r="B15" s="189">
        <v>12</v>
      </c>
      <c r="C15" s="214" t="s">
        <v>11</v>
      </c>
      <c r="D15" s="185" t="s">
        <v>409</v>
      </c>
    </row>
    <row r="16" spans="1:4" ht="45" x14ac:dyDescent="0.25">
      <c r="A16" s="601"/>
      <c r="B16" s="189">
        <v>13</v>
      </c>
      <c r="C16" s="214" t="s">
        <v>776</v>
      </c>
      <c r="D16" s="185" t="s">
        <v>782</v>
      </c>
    </row>
    <row r="17" spans="1:4" ht="30" x14ac:dyDescent="0.25">
      <c r="A17" s="601"/>
      <c r="B17" s="189">
        <v>14</v>
      </c>
      <c r="C17" s="214" t="s">
        <v>778</v>
      </c>
      <c r="D17" s="185" t="s">
        <v>783</v>
      </c>
    </row>
    <row r="18" spans="1:4" ht="75" x14ac:dyDescent="0.25">
      <c r="A18" s="601"/>
      <c r="B18" s="189">
        <v>15</v>
      </c>
      <c r="C18" s="215" t="s">
        <v>779</v>
      </c>
      <c r="D18" s="186" t="s">
        <v>784</v>
      </c>
    </row>
    <row r="19" spans="1:4" ht="45" x14ac:dyDescent="0.25">
      <c r="A19" s="601"/>
      <c r="B19" s="189">
        <v>16</v>
      </c>
      <c r="C19" s="214" t="s">
        <v>13</v>
      </c>
      <c r="D19" s="185" t="s">
        <v>503</v>
      </c>
    </row>
    <row r="20" spans="1:4" ht="30.75" thickBot="1" x14ac:dyDescent="0.3">
      <c r="A20" s="602"/>
      <c r="B20" s="190">
        <v>17</v>
      </c>
      <c r="C20" s="195" t="s">
        <v>14</v>
      </c>
      <c r="D20" s="196" t="s">
        <v>504</v>
      </c>
    </row>
    <row r="21" spans="1:4" ht="60" x14ac:dyDescent="0.25">
      <c r="A21" s="600" t="s">
        <v>410</v>
      </c>
      <c r="B21" s="193">
        <v>18</v>
      </c>
      <c r="C21" s="216" t="s">
        <v>505</v>
      </c>
      <c r="D21" s="179" t="s">
        <v>871</v>
      </c>
    </row>
    <row r="22" spans="1:4" ht="259.5" customHeight="1" x14ac:dyDescent="0.25">
      <c r="A22" s="601"/>
      <c r="B22" s="178">
        <v>19</v>
      </c>
      <c r="C22" s="217" t="s">
        <v>870</v>
      </c>
      <c r="D22" s="180" t="s">
        <v>869</v>
      </c>
    </row>
    <row r="23" spans="1:4" ht="60" x14ac:dyDescent="0.25">
      <c r="A23" s="601"/>
      <c r="B23" s="178">
        <v>20</v>
      </c>
      <c r="C23" s="218" t="s">
        <v>901</v>
      </c>
      <c r="D23" s="180" t="s">
        <v>881</v>
      </c>
    </row>
    <row r="24" spans="1:4" ht="75" x14ac:dyDescent="0.25">
      <c r="A24" s="601"/>
      <c r="B24" s="178">
        <v>21</v>
      </c>
      <c r="C24" s="218" t="s">
        <v>900</v>
      </c>
      <c r="D24" s="180" t="s">
        <v>873</v>
      </c>
    </row>
    <row r="25" spans="1:4" ht="135" x14ac:dyDescent="0.25">
      <c r="A25" s="601"/>
      <c r="B25" s="178">
        <v>22</v>
      </c>
      <c r="C25" s="219" t="s">
        <v>899</v>
      </c>
      <c r="D25" s="182" t="s">
        <v>875</v>
      </c>
    </row>
    <row r="26" spans="1:4" ht="105" x14ac:dyDescent="0.25">
      <c r="A26" s="601"/>
      <c r="B26" s="178">
        <v>23</v>
      </c>
      <c r="C26" s="218" t="s">
        <v>907</v>
      </c>
      <c r="D26" s="180" t="s">
        <v>906</v>
      </c>
    </row>
    <row r="27" spans="1:4" ht="255" x14ac:dyDescent="0.25">
      <c r="A27" s="601"/>
      <c r="B27" s="178">
        <v>24</v>
      </c>
      <c r="C27" s="218" t="s">
        <v>411</v>
      </c>
      <c r="D27" s="182" t="s">
        <v>909</v>
      </c>
    </row>
    <row r="28" spans="1:4" ht="150" x14ac:dyDescent="0.25">
      <c r="A28" s="601"/>
      <c r="B28" s="178">
        <v>25</v>
      </c>
      <c r="C28" s="218" t="s">
        <v>918</v>
      </c>
      <c r="D28" s="180" t="s">
        <v>910</v>
      </c>
    </row>
    <row r="29" spans="1:4" ht="150" x14ac:dyDescent="0.25">
      <c r="A29" s="601"/>
      <c r="B29" s="178">
        <v>26</v>
      </c>
      <c r="C29" s="218" t="s">
        <v>928</v>
      </c>
      <c r="D29" s="180" t="s">
        <v>929</v>
      </c>
    </row>
    <row r="30" spans="1:4" ht="210" x14ac:dyDescent="0.25">
      <c r="A30" s="601"/>
      <c r="B30" s="178">
        <v>27</v>
      </c>
      <c r="C30" s="220" t="s">
        <v>902</v>
      </c>
      <c r="D30" s="180" t="s">
        <v>905</v>
      </c>
    </row>
    <row r="31" spans="1:4" ht="300" x14ac:dyDescent="0.25">
      <c r="A31" s="601"/>
      <c r="B31" s="178">
        <v>28</v>
      </c>
      <c r="C31" s="220" t="s">
        <v>931</v>
      </c>
      <c r="D31" s="180" t="s">
        <v>933</v>
      </c>
    </row>
    <row r="32" spans="1:4" ht="300" x14ac:dyDescent="0.25">
      <c r="A32" s="601"/>
      <c r="B32" s="178">
        <v>29</v>
      </c>
      <c r="C32" s="220" t="s">
        <v>934</v>
      </c>
      <c r="D32" s="180" t="s">
        <v>935</v>
      </c>
    </row>
    <row r="33" spans="1:4" ht="225.75" thickBot="1" x14ac:dyDescent="0.3">
      <c r="A33" s="602"/>
      <c r="B33" s="194">
        <v>30</v>
      </c>
      <c r="C33" s="221" t="s">
        <v>937</v>
      </c>
      <c r="D33" s="183" t="s">
        <v>938</v>
      </c>
    </row>
    <row r="34" spans="1:4" ht="45" x14ac:dyDescent="0.25">
      <c r="A34" s="603" t="s">
        <v>22</v>
      </c>
      <c r="B34" s="191">
        <v>31</v>
      </c>
      <c r="C34" s="222" t="s">
        <v>461</v>
      </c>
      <c r="D34" s="197" t="s">
        <v>506</v>
      </c>
    </row>
    <row r="35" spans="1:4" ht="45" x14ac:dyDescent="0.25">
      <c r="A35" s="604"/>
      <c r="B35" s="189">
        <v>32</v>
      </c>
      <c r="C35" s="214" t="s">
        <v>982</v>
      </c>
      <c r="D35" s="186" t="s">
        <v>984</v>
      </c>
    </row>
    <row r="36" spans="1:4" ht="75" x14ac:dyDescent="0.25">
      <c r="A36" s="604"/>
      <c r="B36" s="189">
        <v>33</v>
      </c>
      <c r="C36" s="215" t="s">
        <v>977</v>
      </c>
      <c r="D36" s="186" t="s">
        <v>983</v>
      </c>
    </row>
    <row r="37" spans="1:4" ht="105.75" thickBot="1" x14ac:dyDescent="0.3">
      <c r="A37" s="605"/>
      <c r="B37" s="192">
        <v>34</v>
      </c>
      <c r="C37" s="188" t="s">
        <v>978</v>
      </c>
      <c r="D37" s="187" t="s">
        <v>985</v>
      </c>
    </row>
  </sheetData>
  <mergeCells count="4">
    <mergeCell ref="A4:A10"/>
    <mergeCell ref="A11:A20"/>
    <mergeCell ref="A21:A33"/>
    <mergeCell ref="A34:A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
  <sheetViews>
    <sheetView showGridLines="0" topLeftCell="B1" zoomScale="115" zoomScaleNormal="115" workbookViewId="0">
      <selection activeCell="F14" sqref="F14"/>
    </sheetView>
  </sheetViews>
  <sheetFormatPr baseColWidth="10" defaultColWidth="11.42578125" defaultRowHeight="15" x14ac:dyDescent="0.25"/>
  <cols>
    <col min="1" max="1" width="40.28515625" style="66" customWidth="1"/>
    <col min="2" max="2" width="29.140625" style="66" customWidth="1"/>
    <col min="3" max="3" width="32.140625" style="66" customWidth="1"/>
    <col min="4" max="4" width="31.5703125" style="66" bestFit="1" customWidth="1"/>
    <col min="5" max="5" width="27.5703125" style="66" customWidth="1"/>
    <col min="6" max="6" width="27.42578125" style="66" customWidth="1"/>
    <col min="7" max="7" width="24" style="66" customWidth="1"/>
    <col min="8" max="8" width="31.7109375" style="66" customWidth="1"/>
    <col min="9" max="9" width="41.7109375" style="66" customWidth="1"/>
    <col min="10" max="10" width="38.85546875" style="66" customWidth="1"/>
    <col min="11" max="11" width="19" style="66" customWidth="1"/>
    <col min="12" max="12" width="26.140625" style="66" customWidth="1"/>
    <col min="13" max="13" width="22.7109375" style="66" customWidth="1"/>
    <col min="14" max="14" width="26" style="66" customWidth="1"/>
    <col min="15" max="15" width="31.85546875" style="66" customWidth="1"/>
    <col min="16" max="16" width="32" style="66" customWidth="1"/>
    <col min="17" max="17" width="38.85546875" style="66" customWidth="1"/>
    <col min="18" max="18" width="39.140625" style="66" customWidth="1"/>
    <col min="19" max="19" width="27.5703125" style="66" customWidth="1"/>
    <col min="20" max="20" width="24.28515625" style="66" customWidth="1"/>
    <col min="21" max="21" width="33.28515625" style="66" customWidth="1"/>
    <col min="22" max="22" width="39" style="66" customWidth="1"/>
    <col min="23" max="16384" width="11.42578125" style="66"/>
  </cols>
  <sheetData>
    <row r="1" spans="1:22" s="110" customFormat="1" ht="71.25" x14ac:dyDescent="0.25">
      <c r="A1" s="148" t="s">
        <v>452</v>
      </c>
      <c r="B1" s="148" t="s">
        <v>453</v>
      </c>
      <c r="C1" s="148" t="s">
        <v>4</v>
      </c>
      <c r="D1" s="148" t="s">
        <v>454</v>
      </c>
      <c r="E1" s="148" t="s">
        <v>6</v>
      </c>
      <c r="F1" s="148" t="s">
        <v>455</v>
      </c>
      <c r="G1" s="148" t="s">
        <v>8</v>
      </c>
      <c r="H1" s="148" t="s">
        <v>13</v>
      </c>
      <c r="I1" s="148" t="s">
        <v>456</v>
      </c>
      <c r="J1" s="148" t="s">
        <v>12</v>
      </c>
      <c r="K1" s="148" t="s">
        <v>781</v>
      </c>
      <c r="L1" s="149" t="s">
        <v>779</v>
      </c>
      <c r="M1" s="149" t="s">
        <v>776</v>
      </c>
      <c r="N1" s="149" t="s">
        <v>199</v>
      </c>
      <c r="O1" s="148" t="s">
        <v>440</v>
      </c>
      <c r="P1" s="148" t="s">
        <v>439</v>
      </c>
      <c r="Q1" s="149" t="s">
        <v>457</v>
      </c>
      <c r="R1" s="148" t="s">
        <v>204</v>
      </c>
      <c r="S1" s="149" t="s">
        <v>458</v>
      </c>
      <c r="T1" s="148" t="s">
        <v>785</v>
      </c>
      <c r="U1" s="148" t="s">
        <v>459</v>
      </c>
      <c r="V1" s="148" t="s">
        <v>460</v>
      </c>
    </row>
    <row r="2" spans="1:22" s="147" customFormat="1" x14ac:dyDescent="0.25">
      <c r="A2" s="290" t="s">
        <v>707</v>
      </c>
      <c r="B2" s="146" t="s">
        <v>177</v>
      </c>
      <c r="C2" s="146" t="s">
        <v>130</v>
      </c>
      <c r="D2" s="146" t="s">
        <v>133</v>
      </c>
      <c r="E2" s="146" t="s">
        <v>141</v>
      </c>
      <c r="F2" s="146" t="s">
        <v>192</v>
      </c>
      <c r="G2" s="146" t="s">
        <v>177</v>
      </c>
      <c r="H2" s="146" t="s">
        <v>160</v>
      </c>
      <c r="I2" s="146" t="s">
        <v>764</v>
      </c>
      <c r="J2" s="146" t="s">
        <v>155</v>
      </c>
      <c r="K2" s="146" t="s">
        <v>160</v>
      </c>
      <c r="L2" s="146" t="s">
        <v>471</v>
      </c>
      <c r="M2" s="146" t="s">
        <v>165</v>
      </c>
      <c r="N2" s="146" t="s">
        <v>160</v>
      </c>
      <c r="O2" s="146" t="s">
        <v>160</v>
      </c>
      <c r="P2" s="146" t="s">
        <v>160</v>
      </c>
      <c r="Q2" s="146" t="s">
        <v>160</v>
      </c>
      <c r="R2" s="146" t="s">
        <v>160</v>
      </c>
      <c r="S2" s="146" t="s">
        <v>205</v>
      </c>
      <c r="T2" s="146" t="s">
        <v>160</v>
      </c>
      <c r="U2" s="146" t="s">
        <v>215</v>
      </c>
      <c r="V2" s="146" t="s">
        <v>225</v>
      </c>
    </row>
    <row r="3" spans="1:22" s="147" customFormat="1" x14ac:dyDescent="0.25">
      <c r="A3" s="290" t="s">
        <v>417</v>
      </c>
      <c r="B3" s="146" t="s">
        <v>178</v>
      </c>
      <c r="C3" s="146" t="s">
        <v>182</v>
      </c>
      <c r="D3" s="146" t="s">
        <v>134</v>
      </c>
      <c r="E3" s="146" t="s">
        <v>64</v>
      </c>
      <c r="F3" s="146" t="s">
        <v>193</v>
      </c>
      <c r="G3" s="146" t="s">
        <v>196</v>
      </c>
      <c r="H3" s="146" t="s">
        <v>121</v>
      </c>
      <c r="I3" s="146" t="s">
        <v>767</v>
      </c>
      <c r="J3" s="146" t="s">
        <v>235</v>
      </c>
      <c r="K3" s="146" t="s">
        <v>121</v>
      </c>
      <c r="L3" s="146" t="s">
        <v>465</v>
      </c>
      <c r="M3" s="146" t="s">
        <v>166</v>
      </c>
      <c r="N3" s="146" t="s">
        <v>121</v>
      </c>
      <c r="O3" s="146" t="s">
        <v>121</v>
      </c>
      <c r="P3" s="146" t="s">
        <v>121</v>
      </c>
      <c r="Q3" s="146" t="s">
        <v>121</v>
      </c>
      <c r="R3" s="146" t="s">
        <v>121</v>
      </c>
      <c r="S3" s="146" t="s">
        <v>206</v>
      </c>
      <c r="T3" s="146" t="s">
        <v>121</v>
      </c>
      <c r="U3" s="146" t="s">
        <v>218</v>
      </c>
      <c r="V3" s="146" t="s">
        <v>226</v>
      </c>
    </row>
    <row r="4" spans="1:22" s="147" customFormat="1" x14ac:dyDescent="0.25">
      <c r="A4" s="290" t="s">
        <v>708</v>
      </c>
      <c r="B4" s="146" t="s">
        <v>122</v>
      </c>
      <c r="C4" s="146" t="s">
        <v>131</v>
      </c>
      <c r="D4" s="146" t="s">
        <v>135</v>
      </c>
      <c r="E4" s="146" t="s">
        <v>142</v>
      </c>
      <c r="F4" s="146" t="s">
        <v>185</v>
      </c>
      <c r="G4" s="146" t="s">
        <v>197</v>
      </c>
      <c r="H4" s="146" t="s">
        <v>122</v>
      </c>
      <c r="I4" s="146" t="s">
        <v>768</v>
      </c>
      <c r="J4" s="146" t="s">
        <v>236</v>
      </c>
      <c r="K4" s="146" t="s">
        <v>122</v>
      </c>
      <c r="L4" s="146" t="s">
        <v>481</v>
      </c>
      <c r="M4" s="146" t="s">
        <v>167</v>
      </c>
      <c r="N4" s="146" t="s">
        <v>122</v>
      </c>
      <c r="O4" s="146" t="s">
        <v>122</v>
      </c>
      <c r="P4" s="146" t="s">
        <v>122</v>
      </c>
      <c r="Q4" s="146" t="s">
        <v>122</v>
      </c>
      <c r="R4" s="146" t="s">
        <v>122</v>
      </c>
      <c r="S4" s="146" t="s">
        <v>207</v>
      </c>
      <c r="T4" s="146" t="s">
        <v>122</v>
      </c>
      <c r="U4" s="146" t="s">
        <v>219</v>
      </c>
      <c r="V4" s="146" t="s">
        <v>227</v>
      </c>
    </row>
    <row r="5" spans="1:22" s="147" customFormat="1" x14ac:dyDescent="0.25">
      <c r="A5" s="290" t="s">
        <v>709</v>
      </c>
      <c r="B5" s="146" t="s">
        <v>123</v>
      </c>
      <c r="C5" s="146" t="s">
        <v>132</v>
      </c>
      <c r="D5" s="146" t="s">
        <v>136</v>
      </c>
      <c r="E5" s="146" t="s">
        <v>184</v>
      </c>
      <c r="F5" s="146" t="s">
        <v>146</v>
      </c>
      <c r="G5" s="146" t="s">
        <v>198</v>
      </c>
      <c r="H5" s="146" t="s">
        <v>161</v>
      </c>
      <c r="I5" s="146" t="s">
        <v>769</v>
      </c>
      <c r="J5" s="146" t="s">
        <v>87</v>
      </c>
      <c r="K5" s="146" t="s">
        <v>161</v>
      </c>
      <c r="L5" s="146" t="s">
        <v>482</v>
      </c>
      <c r="M5" s="146" t="s">
        <v>168</v>
      </c>
      <c r="N5" s="146" t="s">
        <v>161</v>
      </c>
      <c r="O5" s="146" t="s">
        <v>161</v>
      </c>
      <c r="P5" s="146" t="s">
        <v>161</v>
      </c>
      <c r="Q5" s="146" t="s">
        <v>161</v>
      </c>
      <c r="R5" s="146" t="s">
        <v>161</v>
      </c>
      <c r="S5" s="146" t="s">
        <v>208</v>
      </c>
      <c r="T5" s="146" t="s">
        <v>161</v>
      </c>
      <c r="U5" s="146" t="s">
        <v>216</v>
      </c>
      <c r="V5" s="146" t="s">
        <v>228</v>
      </c>
    </row>
    <row r="6" spans="1:22" s="147" customFormat="1" x14ac:dyDescent="0.25">
      <c r="A6" s="290" t="s">
        <v>710</v>
      </c>
      <c r="B6" s="146" t="s">
        <v>124</v>
      </c>
      <c r="C6" s="146" t="s">
        <v>171</v>
      </c>
      <c r="D6" s="146" t="s">
        <v>180</v>
      </c>
      <c r="E6" s="146" t="s">
        <v>143</v>
      </c>
      <c r="F6" s="146" t="s">
        <v>186</v>
      </c>
      <c r="G6" s="146" t="s">
        <v>148</v>
      </c>
      <c r="H6" s="146" t="s">
        <v>123</v>
      </c>
      <c r="I6" s="146" t="s">
        <v>765</v>
      </c>
      <c r="J6" s="146" t="s">
        <v>156</v>
      </c>
      <c r="K6" s="146" t="s">
        <v>123</v>
      </c>
      <c r="L6" s="146" t="s">
        <v>483</v>
      </c>
      <c r="M6" s="146" t="s">
        <v>169</v>
      </c>
      <c r="N6" s="146" t="s">
        <v>123</v>
      </c>
      <c r="O6" s="146" t="s">
        <v>123</v>
      </c>
      <c r="P6" s="146" t="s">
        <v>123</v>
      </c>
      <c r="Q6" s="146" t="s">
        <v>123</v>
      </c>
      <c r="R6" s="146" t="s">
        <v>123</v>
      </c>
      <c r="S6" s="146" t="s">
        <v>209</v>
      </c>
      <c r="T6" s="146" t="s">
        <v>123</v>
      </c>
      <c r="U6" s="146" t="s">
        <v>217</v>
      </c>
      <c r="V6" s="146" t="s">
        <v>774</v>
      </c>
    </row>
    <row r="7" spans="1:22" s="147" customFormat="1" x14ac:dyDescent="0.25">
      <c r="A7" s="290" t="s">
        <v>711</v>
      </c>
      <c r="B7" s="146" t="s">
        <v>125</v>
      </c>
      <c r="C7" s="146" t="s">
        <v>172</v>
      </c>
      <c r="D7" s="146" t="s">
        <v>181</v>
      </c>
      <c r="E7" s="146" t="s">
        <v>34</v>
      </c>
      <c r="F7" s="146" t="s">
        <v>187</v>
      </c>
      <c r="G7" s="146" t="s">
        <v>149</v>
      </c>
      <c r="H7" s="146" t="s">
        <v>200</v>
      </c>
      <c r="I7" s="146" t="s">
        <v>766</v>
      </c>
      <c r="J7" s="146" t="s">
        <v>157</v>
      </c>
      <c r="K7" s="146" t="s">
        <v>142</v>
      </c>
      <c r="L7" s="146" t="s">
        <v>484</v>
      </c>
      <c r="M7" s="146" t="s">
        <v>147</v>
      </c>
      <c r="N7" s="146" t="s">
        <v>203</v>
      </c>
      <c r="O7" s="146" t="s">
        <v>203</v>
      </c>
      <c r="P7" s="146" t="s">
        <v>203</v>
      </c>
      <c r="Q7" s="146" t="s">
        <v>203</v>
      </c>
      <c r="R7" s="146" t="s">
        <v>203</v>
      </c>
      <c r="S7" s="146" t="s">
        <v>210</v>
      </c>
      <c r="T7" s="146" t="s">
        <v>203</v>
      </c>
      <c r="U7" s="146" t="s">
        <v>220</v>
      </c>
      <c r="V7" s="146" t="s">
        <v>770</v>
      </c>
    </row>
    <row r="8" spans="1:22" s="147" customFormat="1" x14ac:dyDescent="0.25">
      <c r="A8" s="290" t="s">
        <v>27</v>
      </c>
      <c r="B8" s="146" t="s">
        <v>126</v>
      </c>
      <c r="C8" s="146" t="s">
        <v>173</v>
      </c>
      <c r="D8" s="146" t="s">
        <v>137</v>
      </c>
      <c r="E8" s="146" t="s">
        <v>144</v>
      </c>
      <c r="F8" s="146" t="s">
        <v>188</v>
      </c>
      <c r="G8" s="146" t="s">
        <v>194</v>
      </c>
      <c r="H8" s="146" t="s">
        <v>142</v>
      </c>
      <c r="I8" s="146" t="s">
        <v>761</v>
      </c>
      <c r="J8" s="146" t="s">
        <v>158</v>
      </c>
      <c r="K8" s="146" t="s">
        <v>124</v>
      </c>
      <c r="L8" s="146" t="s">
        <v>485</v>
      </c>
      <c r="M8" s="146" t="s">
        <v>231</v>
      </c>
      <c r="N8" s="146" t="s">
        <v>152</v>
      </c>
      <c r="O8" s="146" t="s">
        <v>152</v>
      </c>
      <c r="P8" s="146" t="s">
        <v>152</v>
      </c>
      <c r="Q8" s="146" t="s">
        <v>152</v>
      </c>
      <c r="R8" s="146" t="s">
        <v>152</v>
      </c>
      <c r="S8" s="146" t="s">
        <v>211</v>
      </c>
      <c r="T8" s="146" t="s">
        <v>152</v>
      </c>
      <c r="U8" s="146" t="s">
        <v>221</v>
      </c>
      <c r="V8" s="146" t="s">
        <v>771</v>
      </c>
    </row>
    <row r="9" spans="1:22" s="147" customFormat="1" x14ac:dyDescent="0.25">
      <c r="A9" s="290" t="s">
        <v>712</v>
      </c>
      <c r="B9" s="146" t="s">
        <v>127</v>
      </c>
      <c r="C9" s="146" t="s">
        <v>174</v>
      </c>
      <c r="D9" s="146" t="s">
        <v>139</v>
      </c>
      <c r="E9" s="146" t="s">
        <v>65</v>
      </c>
      <c r="F9" s="146" t="s">
        <v>189</v>
      </c>
      <c r="G9" s="146" t="s">
        <v>124</v>
      </c>
      <c r="H9" s="146" t="s">
        <v>124</v>
      </c>
      <c r="I9" s="146" t="s">
        <v>762</v>
      </c>
      <c r="J9" s="146" t="s">
        <v>159</v>
      </c>
      <c r="K9" s="146" t="s">
        <v>162</v>
      </c>
      <c r="L9" s="146" t="s">
        <v>486</v>
      </c>
      <c r="M9" s="146" t="s">
        <v>232</v>
      </c>
      <c r="N9" s="146" t="s">
        <v>200</v>
      </c>
      <c r="O9" s="146" t="s">
        <v>200</v>
      </c>
      <c r="P9" s="146" t="s">
        <v>200</v>
      </c>
      <c r="Q9" s="146" t="s">
        <v>200</v>
      </c>
      <c r="R9" s="146" t="s">
        <v>200</v>
      </c>
      <c r="S9" s="146" t="s">
        <v>212</v>
      </c>
      <c r="T9" s="146" t="s">
        <v>200</v>
      </c>
      <c r="U9" s="146" t="s">
        <v>222</v>
      </c>
      <c r="V9" s="146" t="s">
        <v>772</v>
      </c>
    </row>
    <row r="10" spans="1:22" s="147" customFormat="1" x14ac:dyDescent="0.25">
      <c r="A10" s="290" t="s">
        <v>713</v>
      </c>
      <c r="B10" s="146" t="s">
        <v>179</v>
      </c>
      <c r="C10" s="146" t="s">
        <v>175</v>
      </c>
      <c r="D10" s="146" t="s">
        <v>138</v>
      </c>
      <c r="E10" s="146" t="s">
        <v>183</v>
      </c>
      <c r="F10" s="146" t="s">
        <v>190</v>
      </c>
      <c r="G10" s="146" t="s">
        <v>150</v>
      </c>
      <c r="H10" s="146" t="s">
        <v>152</v>
      </c>
      <c r="I10" s="146" t="s">
        <v>154</v>
      </c>
      <c r="J10" s="146" t="s">
        <v>233</v>
      </c>
      <c r="K10" s="146" t="s">
        <v>163</v>
      </c>
      <c r="L10" s="146" t="s">
        <v>487</v>
      </c>
      <c r="M10" s="146" t="s">
        <v>229</v>
      </c>
      <c r="N10" s="146" t="s">
        <v>201</v>
      </c>
      <c r="O10" s="146" t="s">
        <v>201</v>
      </c>
      <c r="P10" s="146" t="s">
        <v>201</v>
      </c>
      <c r="Q10" s="146" t="s">
        <v>201</v>
      </c>
      <c r="R10" s="146" t="s">
        <v>201</v>
      </c>
      <c r="S10" s="146" t="s">
        <v>213</v>
      </c>
      <c r="T10" s="146" t="s">
        <v>201</v>
      </c>
      <c r="U10" s="146" t="s">
        <v>223</v>
      </c>
      <c r="V10" s="146" t="s">
        <v>773</v>
      </c>
    </row>
    <row r="11" spans="1:22" s="147" customFormat="1" x14ac:dyDescent="0.25">
      <c r="A11" s="290" t="s">
        <v>714</v>
      </c>
      <c r="B11" s="146" t="s">
        <v>128</v>
      </c>
      <c r="C11" s="146" t="s">
        <v>176</v>
      </c>
      <c r="D11" s="146" t="s">
        <v>140</v>
      </c>
      <c r="E11" s="146" t="s">
        <v>145</v>
      </c>
      <c r="F11" s="146" t="s">
        <v>191</v>
      </c>
      <c r="G11" s="146" t="s">
        <v>151</v>
      </c>
      <c r="H11" s="146" t="s">
        <v>153</v>
      </c>
      <c r="I11" s="146" t="s">
        <v>763</v>
      </c>
      <c r="J11" s="146" t="s">
        <v>234</v>
      </c>
      <c r="K11" s="146" t="s">
        <v>164</v>
      </c>
      <c r="L11" s="146" t="s">
        <v>488</v>
      </c>
      <c r="M11" s="146" t="s">
        <v>230</v>
      </c>
      <c r="N11" s="146" t="s">
        <v>202</v>
      </c>
      <c r="O11" s="146" t="s">
        <v>202</v>
      </c>
      <c r="P11" s="146" t="s">
        <v>202</v>
      </c>
      <c r="Q11" s="146" t="s">
        <v>202</v>
      </c>
      <c r="R11" s="146" t="s">
        <v>202</v>
      </c>
      <c r="S11" s="146" t="s">
        <v>214</v>
      </c>
      <c r="T11" s="146" t="s">
        <v>202</v>
      </c>
      <c r="U11" s="146" t="s">
        <v>224</v>
      </c>
      <c r="V11" s="146" t="s">
        <v>775</v>
      </c>
    </row>
    <row r="13" spans="1:22" x14ac:dyDescent="0.25">
      <c r="R13" s="606"/>
      <c r="S13" s="606"/>
    </row>
    <row r="14" spans="1:22" x14ac:dyDescent="0.25">
      <c r="R14" s="606"/>
      <c r="S14" s="606"/>
    </row>
    <row r="15" spans="1:22" x14ac:dyDescent="0.25">
      <c r="R15" s="607"/>
      <c r="S15" s="607"/>
    </row>
    <row r="16" spans="1:22" x14ac:dyDescent="0.25">
      <c r="R16" s="607"/>
      <c r="S16" s="607"/>
    </row>
  </sheetData>
  <mergeCells count="4">
    <mergeCell ref="R13:S13"/>
    <mergeCell ref="R14:S14"/>
    <mergeCell ref="R15:S15"/>
    <mergeCell ref="R16:S16"/>
  </mergeCells>
  <pageMargins left="0.7" right="0.7" top="0.75" bottom="0.75" header="0.3" footer="0.3"/>
  <pageSetup paperSize="9" orientation="portrait" horizontalDpi="4294967292"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C27" sqref="C27"/>
    </sheetView>
  </sheetViews>
  <sheetFormatPr baseColWidth="10" defaultColWidth="9.140625" defaultRowHeight="15.75" x14ac:dyDescent="0.25"/>
  <cols>
    <col min="1" max="1" width="18.7109375" style="437" customWidth="1"/>
    <col min="2" max="2" width="45.42578125" style="437" customWidth="1"/>
    <col min="3" max="6" width="9.42578125" style="437" customWidth="1"/>
    <col min="7" max="7" width="9.28515625" style="437" customWidth="1"/>
    <col min="8" max="8" width="9.42578125" style="437" customWidth="1"/>
    <col min="9" max="9" width="1" style="449" customWidth="1"/>
    <col min="10" max="10" width="10.140625" style="437" customWidth="1"/>
    <col min="11" max="12" width="10.28515625" style="437" customWidth="1"/>
    <col min="13" max="13" width="10.5703125" style="437" customWidth="1"/>
    <col min="14" max="14" width="9.85546875" style="437" customWidth="1"/>
    <col min="15" max="15" width="10.5703125" style="437" customWidth="1"/>
    <col min="16" max="16384" width="9.140625" style="437"/>
  </cols>
  <sheetData>
    <row r="1" spans="1:15" x14ac:dyDescent="0.25">
      <c r="A1" s="614" t="s">
        <v>1004</v>
      </c>
      <c r="B1" s="614"/>
      <c r="C1" s="614"/>
      <c r="D1" s="614"/>
      <c r="E1" s="614"/>
      <c r="F1" s="614"/>
      <c r="G1" s="614"/>
      <c r="H1" s="614"/>
      <c r="I1" s="614"/>
      <c r="J1" s="614"/>
      <c r="K1" s="614"/>
      <c r="L1" s="614"/>
      <c r="M1" s="614"/>
      <c r="N1" s="614"/>
      <c r="O1" s="614"/>
    </row>
    <row r="2" spans="1:15" s="446" customFormat="1" x14ac:dyDescent="0.25">
      <c r="A2" s="609" t="s">
        <v>1002</v>
      </c>
      <c r="B2" s="609" t="s">
        <v>1003</v>
      </c>
      <c r="C2" s="608" t="s">
        <v>1010</v>
      </c>
      <c r="D2" s="608"/>
      <c r="E2" s="608"/>
      <c r="F2" s="608"/>
      <c r="G2" s="608"/>
      <c r="H2" s="608"/>
      <c r="I2" s="448"/>
      <c r="J2" s="608" t="s">
        <v>1011</v>
      </c>
      <c r="K2" s="608"/>
      <c r="L2" s="608"/>
      <c r="M2" s="608"/>
      <c r="N2" s="608"/>
      <c r="O2" s="608"/>
    </row>
    <row r="3" spans="1:15" s="446" customFormat="1" x14ac:dyDescent="0.25">
      <c r="A3" s="609"/>
      <c r="B3" s="609"/>
      <c r="C3" s="608" t="s">
        <v>1005</v>
      </c>
      <c r="D3" s="608"/>
      <c r="E3" s="608"/>
      <c r="F3" s="610" t="s">
        <v>1006</v>
      </c>
      <c r="G3" s="610"/>
      <c r="H3" s="610"/>
      <c r="I3" s="448"/>
      <c r="J3" s="608" t="s">
        <v>1005</v>
      </c>
      <c r="K3" s="608"/>
      <c r="L3" s="608"/>
      <c r="M3" s="610" t="s">
        <v>1006</v>
      </c>
      <c r="N3" s="610"/>
      <c r="O3" s="610"/>
    </row>
    <row r="4" spans="1:15" x14ac:dyDescent="0.25">
      <c r="A4" s="609"/>
      <c r="B4" s="609"/>
      <c r="C4" s="438">
        <v>1</v>
      </c>
      <c r="D4" s="438">
        <v>2</v>
      </c>
      <c r="E4" s="438">
        <v>3</v>
      </c>
      <c r="F4" s="437">
        <v>4</v>
      </c>
      <c r="G4" s="437">
        <v>5</v>
      </c>
      <c r="H4" s="437">
        <v>6</v>
      </c>
      <c r="J4" s="438">
        <v>1</v>
      </c>
      <c r="K4" s="438">
        <v>2</v>
      </c>
      <c r="L4" s="438">
        <v>3</v>
      </c>
      <c r="M4" s="437">
        <v>4</v>
      </c>
      <c r="N4" s="437">
        <v>5</v>
      </c>
      <c r="O4" s="437">
        <v>6</v>
      </c>
    </row>
    <row r="5" spans="1:15" ht="51" customHeight="1" x14ac:dyDescent="0.25">
      <c r="A5" s="612" t="s">
        <v>452</v>
      </c>
      <c r="B5" s="116" t="s">
        <v>987</v>
      </c>
      <c r="C5" s="437">
        <v>0</v>
      </c>
      <c r="D5" s="437">
        <v>0</v>
      </c>
      <c r="E5" s="437">
        <v>0</v>
      </c>
      <c r="F5" s="437">
        <f>TREND(C5:E5,C4:E4,F4:H4,)</f>
        <v>0</v>
      </c>
      <c r="G5" s="437">
        <f>TREND(D5:F5,D4:F4,G4:H4,)</f>
        <v>0</v>
      </c>
      <c r="H5" s="437">
        <f>TREND(E5:G5,E4:G4,H4:H4,)</f>
        <v>0</v>
      </c>
      <c r="J5" s="437">
        <v>0</v>
      </c>
      <c r="K5" s="437">
        <v>0</v>
      </c>
      <c r="L5" s="437">
        <v>0</v>
      </c>
      <c r="M5" s="437">
        <f>TREND(J5:L5,J4:L4,M4:O4,)</f>
        <v>0</v>
      </c>
      <c r="N5" s="437">
        <f t="shared" ref="N5:N7" si="0">TREND(K5:M5,K4:M4,N4:P4,)</f>
        <v>0</v>
      </c>
      <c r="O5" s="437">
        <f t="shared" ref="O5:O7" si="1">TREND(L5:N5,L4:N4,O4:Q4,)</f>
        <v>0</v>
      </c>
    </row>
    <row r="6" spans="1:15" ht="52.5" customHeight="1" x14ac:dyDescent="0.25">
      <c r="A6" s="612"/>
      <c r="B6" s="116" t="s">
        <v>988</v>
      </c>
      <c r="C6" s="437">
        <v>0</v>
      </c>
      <c r="D6" s="437">
        <v>0</v>
      </c>
      <c r="E6" s="437">
        <v>0</v>
      </c>
      <c r="F6" s="437">
        <f t="shared" ref="F6:F7" si="2">TREND(C6:E6,C5:E5,F5:H5,)</f>
        <v>0</v>
      </c>
      <c r="G6" s="437">
        <f>TREND(D6:F6,D5:F5,G5:H5,)</f>
        <v>0</v>
      </c>
      <c r="H6" s="437">
        <f>TREND(E6:G6,E5:G5,H5:H5,)</f>
        <v>0</v>
      </c>
      <c r="J6" s="437">
        <v>0</v>
      </c>
      <c r="K6" s="437">
        <v>0</v>
      </c>
      <c r="L6" s="437">
        <v>0</v>
      </c>
      <c r="M6" s="437">
        <f t="shared" ref="M6:M7" si="3">TREND(J6:L6,J5:L5,M5:O5,)</f>
        <v>0</v>
      </c>
      <c r="N6" s="437">
        <f t="shared" si="0"/>
        <v>0</v>
      </c>
      <c r="O6" s="437">
        <f t="shared" si="1"/>
        <v>0</v>
      </c>
    </row>
    <row r="7" spans="1:15" ht="42.75" customHeight="1" x14ac:dyDescent="0.25">
      <c r="A7" s="612"/>
      <c r="B7" s="116" t="s">
        <v>988</v>
      </c>
      <c r="C7" s="437">
        <v>0</v>
      </c>
      <c r="D7" s="437">
        <v>0</v>
      </c>
      <c r="E7" s="437">
        <v>0</v>
      </c>
      <c r="F7" s="437">
        <f t="shared" si="2"/>
        <v>0</v>
      </c>
      <c r="G7" s="437">
        <f>TREND(D7:F7,D6:F6,G6:H6,)</f>
        <v>0</v>
      </c>
      <c r="H7" s="437">
        <f>TREND(E7:G7,E6:G6,H6:H6,)</f>
        <v>0</v>
      </c>
      <c r="J7" s="437">
        <v>0</v>
      </c>
      <c r="K7" s="437">
        <v>0</v>
      </c>
      <c r="L7" s="437">
        <v>0</v>
      </c>
      <c r="M7" s="437">
        <f t="shared" si="3"/>
        <v>0</v>
      </c>
      <c r="N7" s="437">
        <f t="shared" si="0"/>
        <v>0</v>
      </c>
      <c r="O7" s="437">
        <f t="shared" si="1"/>
        <v>0</v>
      </c>
    </row>
    <row r="8" spans="1:15" x14ac:dyDescent="0.25">
      <c r="A8" s="611" t="s">
        <v>1008</v>
      </c>
      <c r="B8" s="611"/>
      <c r="C8" s="443">
        <f>(C5*0.4+C6*0.4+C7*0.2)*(10/6)</f>
        <v>0</v>
      </c>
      <c r="D8" s="443">
        <f t="shared" ref="D8:H8" si="4">(D5*0.4+D6*0.4+D7*0.2)*(10/6)</f>
        <v>0</v>
      </c>
      <c r="E8" s="443">
        <f t="shared" si="4"/>
        <v>0</v>
      </c>
      <c r="F8" s="443">
        <f t="shared" si="4"/>
        <v>0</v>
      </c>
      <c r="G8" s="443">
        <f t="shared" si="4"/>
        <v>0</v>
      </c>
      <c r="H8" s="443">
        <f t="shared" si="4"/>
        <v>0</v>
      </c>
      <c r="I8" s="448"/>
      <c r="J8" s="443">
        <f>(J5*0.4+J6*0.4+J7*0.2)*(10/6)</f>
        <v>0</v>
      </c>
      <c r="K8" s="443">
        <f t="shared" ref="K8:O8" si="5">(K5*0.4+K6*0.4+K7*0.2)*(10/6)</f>
        <v>0</v>
      </c>
      <c r="L8" s="443">
        <f t="shared" si="5"/>
        <v>0</v>
      </c>
      <c r="M8" s="443">
        <f t="shared" si="5"/>
        <v>0</v>
      </c>
      <c r="N8" s="443">
        <f t="shared" si="5"/>
        <v>0</v>
      </c>
      <c r="O8" s="443">
        <f t="shared" si="5"/>
        <v>0</v>
      </c>
    </row>
    <row r="9" spans="1:15" ht="56.25" customHeight="1" x14ac:dyDescent="0.25">
      <c r="A9" s="436" t="s">
        <v>453</v>
      </c>
      <c r="B9" s="439" t="s">
        <v>989</v>
      </c>
      <c r="C9" s="437">
        <v>0</v>
      </c>
      <c r="D9" s="437">
        <v>0</v>
      </c>
      <c r="E9" s="437">
        <v>0</v>
      </c>
      <c r="F9" s="437">
        <f>TREND(C9:E9,C4:E4,F4:H4,)</f>
        <v>0</v>
      </c>
      <c r="G9" s="437">
        <f>TREND(D9:F9,D4:F4,G4:H4,)</f>
        <v>0</v>
      </c>
      <c r="H9" s="437">
        <f>TREND(E9:G9,E4:G4,H4:H4,)</f>
        <v>0</v>
      </c>
      <c r="J9" s="437">
        <v>0</v>
      </c>
      <c r="K9" s="437">
        <v>0</v>
      </c>
      <c r="L9" s="437">
        <v>0</v>
      </c>
      <c r="M9" s="437">
        <f>TREND(J9:L9,J4:L4,M4:O4,)</f>
        <v>0</v>
      </c>
      <c r="N9" s="437">
        <f t="shared" ref="N9" si="6">TREND(K9:M9,K4:M4,N4:P4,)</f>
        <v>0</v>
      </c>
      <c r="O9" s="437">
        <f t="shared" ref="O9" si="7">TREND(L9:N9,L4:N4,O4:Q4,)</f>
        <v>0</v>
      </c>
    </row>
    <row r="10" spans="1:15" x14ac:dyDescent="0.25">
      <c r="A10" s="611" t="s">
        <v>1008</v>
      </c>
      <c r="B10" s="611"/>
      <c r="C10" s="443">
        <f>(C9*1)*(10/6)</f>
        <v>0</v>
      </c>
      <c r="D10" s="443">
        <f t="shared" ref="D10:H10" si="8">(D9*1)*(10/6)</f>
        <v>0</v>
      </c>
      <c r="E10" s="443">
        <f t="shared" si="8"/>
        <v>0</v>
      </c>
      <c r="F10" s="443">
        <f t="shared" si="8"/>
        <v>0</v>
      </c>
      <c r="G10" s="443">
        <f t="shared" si="8"/>
        <v>0</v>
      </c>
      <c r="H10" s="443">
        <f t="shared" si="8"/>
        <v>0</v>
      </c>
      <c r="I10" s="448"/>
      <c r="J10" s="443">
        <f>(J9*1)*(10/6)</f>
        <v>0</v>
      </c>
      <c r="K10" s="443">
        <f t="shared" ref="K10:O10" si="9">(K9*1)*(10/6)</f>
        <v>0</v>
      </c>
      <c r="L10" s="443">
        <f t="shared" si="9"/>
        <v>0</v>
      </c>
      <c r="M10" s="443">
        <f t="shared" si="9"/>
        <v>0</v>
      </c>
      <c r="N10" s="443">
        <f t="shared" si="9"/>
        <v>0</v>
      </c>
      <c r="O10" s="443">
        <f t="shared" si="9"/>
        <v>0</v>
      </c>
    </row>
    <row r="11" spans="1:15" ht="41.25" customHeight="1" x14ac:dyDescent="0.25">
      <c r="A11" s="612" t="s">
        <v>4</v>
      </c>
      <c r="B11" s="439" t="s">
        <v>990</v>
      </c>
      <c r="C11" s="437">
        <v>0</v>
      </c>
      <c r="D11" s="437">
        <v>0</v>
      </c>
      <c r="E11" s="437">
        <v>0</v>
      </c>
      <c r="F11" s="437">
        <f>TREND(C11:E11,C4:E4,F4,TRUE)</f>
        <v>0</v>
      </c>
      <c r="G11" s="437">
        <f t="shared" ref="G11:H13" si="10">TREND(D11:F11,D4:F4,G4,TRUE)</f>
        <v>0</v>
      </c>
      <c r="H11" s="437">
        <f t="shared" si="10"/>
        <v>0</v>
      </c>
      <c r="J11" s="437">
        <v>0</v>
      </c>
      <c r="K11" s="437">
        <v>0</v>
      </c>
      <c r="L11" s="437">
        <v>0</v>
      </c>
      <c r="M11" s="437">
        <f>TREND(J11:L11,J4:L4,M4,TRUE)</f>
        <v>0</v>
      </c>
      <c r="N11" s="437">
        <f t="shared" ref="N11:N13" si="11">TREND(K11:M11,K4:M4,N4,TRUE)</f>
        <v>0</v>
      </c>
      <c r="O11" s="437">
        <f t="shared" ref="O11:O12" si="12">TREND(L11:N11,L4:N4,O4,TRUE)</f>
        <v>0</v>
      </c>
    </row>
    <row r="12" spans="1:15" ht="48.75" customHeight="1" x14ac:dyDescent="0.25">
      <c r="A12" s="612"/>
      <c r="B12" s="439" t="s">
        <v>991</v>
      </c>
      <c r="C12" s="437">
        <v>0</v>
      </c>
      <c r="D12" s="437">
        <v>0</v>
      </c>
      <c r="E12" s="437">
        <v>0</v>
      </c>
      <c r="F12" s="437">
        <f t="shared" ref="F12:F13" si="13">TREND(C12:E12,C5:E5,F5,TRUE)</f>
        <v>0</v>
      </c>
      <c r="G12" s="437">
        <f t="shared" si="10"/>
        <v>0</v>
      </c>
      <c r="H12" s="437">
        <f t="shared" si="10"/>
        <v>0</v>
      </c>
      <c r="J12" s="437">
        <v>0</v>
      </c>
      <c r="K12" s="437">
        <v>0</v>
      </c>
      <c r="L12" s="437">
        <v>0</v>
      </c>
      <c r="M12" s="437">
        <f t="shared" ref="M12:M13" si="14">TREND(J12:L12,J5:L5,M5,TRUE)</f>
        <v>0</v>
      </c>
      <c r="N12" s="437">
        <f t="shared" si="11"/>
        <v>0</v>
      </c>
      <c r="O12" s="437">
        <f t="shared" si="12"/>
        <v>0</v>
      </c>
    </row>
    <row r="13" spans="1:15" ht="48.75" customHeight="1" x14ac:dyDescent="0.25">
      <c r="A13" s="612"/>
      <c r="B13" s="439" t="s">
        <v>992</v>
      </c>
      <c r="C13" s="437">
        <v>0</v>
      </c>
      <c r="D13" s="437">
        <v>0</v>
      </c>
      <c r="E13" s="437">
        <v>0</v>
      </c>
      <c r="F13" s="437">
        <f t="shared" si="13"/>
        <v>0</v>
      </c>
      <c r="G13" s="437">
        <f t="shared" si="10"/>
        <v>0</v>
      </c>
      <c r="H13" s="437">
        <f>TREND(E13:G13,E6:G6,H6,TRUE)</f>
        <v>0</v>
      </c>
      <c r="J13" s="437">
        <v>0</v>
      </c>
      <c r="K13" s="437">
        <v>0</v>
      </c>
      <c r="L13" s="437">
        <v>0</v>
      </c>
      <c r="M13" s="437">
        <f t="shared" si="14"/>
        <v>0</v>
      </c>
      <c r="N13" s="437">
        <f t="shared" si="11"/>
        <v>0</v>
      </c>
      <c r="O13" s="437">
        <f>TREND(L13:N13,L6:N6,O6,TRUE)</f>
        <v>0</v>
      </c>
    </row>
    <row r="14" spans="1:15" ht="16.5" customHeight="1" x14ac:dyDescent="0.2">
      <c r="A14" s="611" t="s">
        <v>1008</v>
      </c>
      <c r="B14" s="611"/>
      <c r="C14" s="442">
        <f>(C11*0.5+C12*0.25+C13*0.25)*(10/6)</f>
        <v>0</v>
      </c>
      <c r="D14" s="442">
        <f t="shared" ref="D14:H14" si="15">(D11*0.5+D12*0.25+D13*0.25)*(10/6)</f>
        <v>0</v>
      </c>
      <c r="E14" s="442">
        <f t="shared" si="15"/>
        <v>0</v>
      </c>
      <c r="F14" s="442">
        <f t="shared" si="15"/>
        <v>0</v>
      </c>
      <c r="G14" s="442">
        <f t="shared" si="15"/>
        <v>0</v>
      </c>
      <c r="H14" s="442">
        <f t="shared" si="15"/>
        <v>0</v>
      </c>
      <c r="I14" s="450"/>
      <c r="J14" s="442">
        <f>(J11*0.5+J12*0.25+J13*0.25)*(10/6)</f>
        <v>0</v>
      </c>
      <c r="K14" s="442">
        <f t="shared" ref="K14:O14" si="16">(K11*0.5+K12*0.25+K13*0.25)*(10/6)</f>
        <v>0</v>
      </c>
      <c r="L14" s="442">
        <f t="shared" si="16"/>
        <v>0</v>
      </c>
      <c r="M14" s="442">
        <f t="shared" si="16"/>
        <v>0</v>
      </c>
      <c r="N14" s="442">
        <f t="shared" si="16"/>
        <v>0</v>
      </c>
      <c r="O14" s="442">
        <f t="shared" si="16"/>
        <v>0</v>
      </c>
    </row>
    <row r="15" spans="1:15" ht="135" x14ac:dyDescent="0.25">
      <c r="A15" s="612" t="s">
        <v>5</v>
      </c>
      <c r="B15" s="110" t="s">
        <v>1009</v>
      </c>
      <c r="C15" s="437">
        <v>0</v>
      </c>
      <c r="D15" s="437">
        <v>0</v>
      </c>
      <c r="E15" s="437">
        <v>0</v>
      </c>
      <c r="F15" s="437">
        <f>TREND(C15:E15,C4:E4,F4,)</f>
        <v>0</v>
      </c>
      <c r="G15" s="437">
        <f t="shared" ref="G15:H16" si="17">TREND(D15:F15,D4:F4,G4,)</f>
        <v>0</v>
      </c>
      <c r="H15" s="437">
        <f t="shared" si="17"/>
        <v>0</v>
      </c>
      <c r="J15" s="437">
        <v>0</v>
      </c>
      <c r="K15" s="437">
        <v>0</v>
      </c>
      <c r="L15" s="437">
        <v>0</v>
      </c>
      <c r="M15" s="437">
        <f>TREND(J15:L15,J4:L4,M4,)</f>
        <v>0</v>
      </c>
      <c r="N15" s="437">
        <f t="shared" ref="N15:N16" si="18">TREND(K15:M15,K4:M4,N4,)</f>
        <v>0</v>
      </c>
      <c r="O15" s="437">
        <f t="shared" ref="O15:O16" si="19">TREND(L15:N15,L4:N4,O4,)</f>
        <v>0</v>
      </c>
    </row>
    <row r="16" spans="1:15" ht="43.5" customHeight="1" x14ac:dyDescent="0.25">
      <c r="A16" s="612"/>
      <c r="B16" s="439" t="s">
        <v>993</v>
      </c>
      <c r="C16" s="437">
        <v>0</v>
      </c>
      <c r="D16" s="437">
        <v>0</v>
      </c>
      <c r="E16" s="437">
        <v>0</v>
      </c>
      <c r="F16" s="437">
        <f>TREND(C16:E16,C5:E5,F5,)</f>
        <v>0</v>
      </c>
      <c r="G16" s="437">
        <f t="shared" si="17"/>
        <v>0</v>
      </c>
      <c r="H16" s="437">
        <f t="shared" si="17"/>
        <v>0</v>
      </c>
      <c r="J16" s="437">
        <v>0</v>
      </c>
      <c r="K16" s="437">
        <v>0</v>
      </c>
      <c r="L16" s="437">
        <v>0</v>
      </c>
      <c r="M16" s="437">
        <f>TREND(J16:L16,J5:L5,M5,)</f>
        <v>0</v>
      </c>
      <c r="N16" s="437">
        <f t="shared" si="18"/>
        <v>0</v>
      </c>
      <c r="O16" s="437">
        <f t="shared" si="19"/>
        <v>0</v>
      </c>
    </row>
    <row r="17" spans="1:15" x14ac:dyDescent="0.25">
      <c r="A17" s="611" t="s">
        <v>1008</v>
      </c>
      <c r="B17" s="611"/>
      <c r="C17" s="441">
        <f>(C15*0.5+C16*0.5)*(10/6)</f>
        <v>0</v>
      </c>
      <c r="D17" s="441">
        <f t="shared" ref="D17:H17" si="20">(D15*0.5+D16*0.5)*(10/6)</f>
        <v>0</v>
      </c>
      <c r="E17" s="441">
        <f t="shared" si="20"/>
        <v>0</v>
      </c>
      <c r="F17" s="441">
        <f t="shared" si="20"/>
        <v>0</v>
      </c>
      <c r="G17" s="441">
        <f t="shared" si="20"/>
        <v>0</v>
      </c>
      <c r="H17" s="441">
        <f t="shared" si="20"/>
        <v>0</v>
      </c>
      <c r="J17" s="441">
        <f>(J15*0.5+J16*0.5)*(10/6)</f>
        <v>0</v>
      </c>
      <c r="K17" s="441">
        <f t="shared" ref="K17:O17" si="21">(K15*0.5+K16*0.5)*(10/6)</f>
        <v>0</v>
      </c>
      <c r="L17" s="441">
        <f t="shared" si="21"/>
        <v>0</v>
      </c>
      <c r="M17" s="441">
        <f t="shared" si="21"/>
        <v>0</v>
      </c>
      <c r="N17" s="441">
        <f t="shared" si="21"/>
        <v>0</v>
      </c>
      <c r="O17" s="441">
        <f t="shared" si="21"/>
        <v>0</v>
      </c>
    </row>
    <row r="18" spans="1:15" ht="47.25" customHeight="1" x14ac:dyDescent="0.25">
      <c r="A18" s="612" t="s">
        <v>6</v>
      </c>
      <c r="B18" s="439" t="s">
        <v>994</v>
      </c>
      <c r="C18" s="437">
        <v>0</v>
      </c>
      <c r="D18" s="437">
        <v>0</v>
      </c>
      <c r="E18" s="437">
        <v>0</v>
      </c>
      <c r="F18" s="437">
        <f>TREND(C18:E18,C4:E4,F4,)</f>
        <v>0</v>
      </c>
      <c r="G18" s="437">
        <f t="shared" ref="G18:H19" si="22">TREND(D18:F18,D4:F4,G4,)</f>
        <v>0</v>
      </c>
      <c r="H18" s="437">
        <f t="shared" si="22"/>
        <v>0</v>
      </c>
      <c r="J18" s="437">
        <v>0</v>
      </c>
      <c r="K18" s="437">
        <v>0</v>
      </c>
      <c r="L18" s="437">
        <v>0</v>
      </c>
      <c r="M18" s="437">
        <f>TREND(J18:L18,J4:L4,M4,)</f>
        <v>0</v>
      </c>
      <c r="N18" s="437">
        <f t="shared" ref="N18:N19" si="23">TREND(K18:M18,K4:M4,N4,)</f>
        <v>0</v>
      </c>
      <c r="O18" s="437">
        <f t="shared" ref="O18:O19" si="24">TREND(L18:N18,L4:N4,O4,)</f>
        <v>0</v>
      </c>
    </row>
    <row r="19" spans="1:15" ht="44.25" customHeight="1" x14ac:dyDescent="0.25">
      <c r="A19" s="612"/>
      <c r="B19" s="439" t="s">
        <v>995</v>
      </c>
      <c r="C19" s="437">
        <v>0</v>
      </c>
      <c r="D19" s="437">
        <v>0</v>
      </c>
      <c r="E19" s="437">
        <v>0</v>
      </c>
      <c r="F19" s="437">
        <f>TREND(C19:E19,C5:E5,F5,)</f>
        <v>0</v>
      </c>
      <c r="G19" s="437">
        <f t="shared" si="22"/>
        <v>0</v>
      </c>
      <c r="H19" s="437">
        <f t="shared" si="22"/>
        <v>0</v>
      </c>
      <c r="J19" s="437">
        <v>0</v>
      </c>
      <c r="K19" s="437">
        <v>0</v>
      </c>
      <c r="L19" s="437">
        <v>0</v>
      </c>
      <c r="M19" s="437">
        <f>TREND(J19:L19,J5:L5,M5,)</f>
        <v>0</v>
      </c>
      <c r="N19" s="437">
        <f t="shared" si="23"/>
        <v>0</v>
      </c>
      <c r="O19" s="437">
        <f t="shared" si="24"/>
        <v>0</v>
      </c>
    </row>
    <row r="20" spans="1:15" x14ac:dyDescent="0.25">
      <c r="A20" s="611" t="s">
        <v>1008</v>
      </c>
      <c r="B20" s="611"/>
      <c r="C20" s="441">
        <f>(C18*0.6+C19*0.4)*(10/6)</f>
        <v>0</v>
      </c>
      <c r="D20" s="441">
        <f t="shared" ref="D20:H20" si="25">(D18*0.6+D19*0.4)*(10/6)</f>
        <v>0</v>
      </c>
      <c r="E20" s="441">
        <f t="shared" si="25"/>
        <v>0</v>
      </c>
      <c r="F20" s="441">
        <f t="shared" si="25"/>
        <v>0</v>
      </c>
      <c r="G20" s="441">
        <f t="shared" si="25"/>
        <v>0</v>
      </c>
      <c r="H20" s="441">
        <f t="shared" si="25"/>
        <v>0</v>
      </c>
      <c r="J20" s="441">
        <f>(J18*0.6+J19*0.4)*(10/6)</f>
        <v>0</v>
      </c>
      <c r="K20" s="441">
        <f t="shared" ref="K20:O20" si="26">(K18*0.6+K19*0.4)*(10/6)</f>
        <v>0</v>
      </c>
      <c r="L20" s="441">
        <f t="shared" si="26"/>
        <v>0</v>
      </c>
      <c r="M20" s="441">
        <f t="shared" si="26"/>
        <v>0</v>
      </c>
      <c r="N20" s="441">
        <f t="shared" si="26"/>
        <v>0</v>
      </c>
      <c r="O20" s="441">
        <f t="shared" si="26"/>
        <v>0</v>
      </c>
    </row>
    <row r="21" spans="1:15" ht="53.25" customHeight="1" x14ac:dyDescent="0.25">
      <c r="A21" s="612" t="s">
        <v>996</v>
      </c>
      <c r="B21" s="440" t="s">
        <v>997</v>
      </c>
      <c r="C21" s="437">
        <v>0</v>
      </c>
      <c r="D21" s="437">
        <v>0</v>
      </c>
      <c r="E21" s="437">
        <v>0</v>
      </c>
      <c r="F21" s="437">
        <f>TREND(C21:E21,C4:E4,F4,)</f>
        <v>0</v>
      </c>
      <c r="G21" s="437">
        <f t="shared" ref="G21:H23" si="27">TREND(D21:F21,D4:F4,G4,)</f>
        <v>0</v>
      </c>
      <c r="H21" s="437">
        <f t="shared" si="27"/>
        <v>0</v>
      </c>
      <c r="J21" s="437">
        <v>0</v>
      </c>
      <c r="K21" s="437">
        <v>0</v>
      </c>
      <c r="L21" s="437">
        <v>0</v>
      </c>
      <c r="M21" s="437">
        <f>TREND(J21:L21,J4:L4,M4,)</f>
        <v>0</v>
      </c>
      <c r="N21" s="437">
        <f t="shared" ref="N21:N23" si="28">TREND(K21:M21,K4:M4,N4,)</f>
        <v>0</v>
      </c>
      <c r="O21" s="437">
        <f t="shared" ref="O21:O23" si="29">TREND(L21:N21,L4:N4,O4,)</f>
        <v>0</v>
      </c>
    </row>
    <row r="22" spans="1:15" ht="63.75" customHeight="1" x14ac:dyDescent="0.25">
      <c r="A22" s="612"/>
      <c r="B22" s="440" t="s">
        <v>998</v>
      </c>
      <c r="C22" s="437">
        <v>0</v>
      </c>
      <c r="D22" s="437">
        <v>0</v>
      </c>
      <c r="E22" s="437">
        <v>0</v>
      </c>
      <c r="F22" s="437">
        <f t="shared" ref="F22:F23" si="30">TREND(C22:E22,C5:E5,F5,)</f>
        <v>0</v>
      </c>
      <c r="G22" s="437">
        <f t="shared" si="27"/>
        <v>0</v>
      </c>
      <c r="H22" s="437">
        <f t="shared" si="27"/>
        <v>0</v>
      </c>
      <c r="J22" s="437">
        <v>0</v>
      </c>
      <c r="K22" s="437">
        <v>0</v>
      </c>
      <c r="L22" s="437">
        <v>0</v>
      </c>
      <c r="M22" s="437">
        <f t="shared" ref="M22:M23" si="31">TREND(J22:L22,J5:L5,M5,)</f>
        <v>0</v>
      </c>
      <c r="N22" s="437">
        <f t="shared" si="28"/>
        <v>0</v>
      </c>
      <c r="O22" s="437">
        <f t="shared" si="29"/>
        <v>0</v>
      </c>
    </row>
    <row r="23" spans="1:15" ht="120" hidden="1" customHeight="1" x14ac:dyDescent="0.25">
      <c r="A23" s="612"/>
      <c r="B23" s="440" t="s">
        <v>999</v>
      </c>
      <c r="C23" s="437">
        <v>0</v>
      </c>
      <c r="D23" s="437">
        <v>0</v>
      </c>
      <c r="E23" s="437">
        <v>0</v>
      </c>
      <c r="F23" s="437">
        <f t="shared" si="30"/>
        <v>0</v>
      </c>
      <c r="G23" s="437">
        <f t="shared" si="27"/>
        <v>0</v>
      </c>
      <c r="H23" s="437">
        <f t="shared" si="27"/>
        <v>0</v>
      </c>
      <c r="J23" s="437">
        <v>0</v>
      </c>
      <c r="K23" s="437">
        <v>0</v>
      </c>
      <c r="L23" s="437">
        <v>0</v>
      </c>
      <c r="M23" s="437">
        <f t="shared" si="31"/>
        <v>0</v>
      </c>
      <c r="N23" s="437">
        <f t="shared" si="28"/>
        <v>0</v>
      </c>
      <c r="O23" s="437">
        <f t="shared" si="29"/>
        <v>0</v>
      </c>
    </row>
    <row r="24" spans="1:15" x14ac:dyDescent="0.25">
      <c r="A24" s="611" t="s">
        <v>1008</v>
      </c>
      <c r="B24" s="611"/>
      <c r="C24" s="441">
        <f>(C21*0.3+C22*0.35+C23*0.35)*(10/6)</f>
        <v>0</v>
      </c>
      <c r="D24" s="441">
        <f t="shared" ref="D24:H24" si="32">(D21*0.3+D22*0.35+D23*0.35)*(10/6)</f>
        <v>0</v>
      </c>
      <c r="E24" s="441">
        <f t="shared" si="32"/>
        <v>0</v>
      </c>
      <c r="F24" s="441">
        <f t="shared" si="32"/>
        <v>0</v>
      </c>
      <c r="G24" s="441">
        <f t="shared" si="32"/>
        <v>0</v>
      </c>
      <c r="H24" s="441">
        <f t="shared" si="32"/>
        <v>0</v>
      </c>
      <c r="J24" s="441">
        <f>(J21*0.3+J22*0.35+J23*0.35)*(10/6)</f>
        <v>0</v>
      </c>
      <c r="K24" s="441">
        <f t="shared" ref="K24:O24" si="33">(K21*0.3+K22*0.35+K23*0.35)*(10/6)</f>
        <v>0</v>
      </c>
      <c r="L24" s="441">
        <f t="shared" si="33"/>
        <v>0</v>
      </c>
      <c r="M24" s="441">
        <f t="shared" si="33"/>
        <v>0</v>
      </c>
      <c r="N24" s="441">
        <f t="shared" si="33"/>
        <v>0</v>
      </c>
      <c r="O24" s="441">
        <f t="shared" si="33"/>
        <v>0</v>
      </c>
    </row>
    <row r="25" spans="1:15" ht="94.5" x14ac:dyDescent="0.25">
      <c r="A25" s="436" t="s">
        <v>1000</v>
      </c>
      <c r="B25" s="445" t="s">
        <v>1001</v>
      </c>
      <c r="C25" s="437">
        <v>0</v>
      </c>
      <c r="D25" s="437">
        <v>0</v>
      </c>
      <c r="E25" s="437">
        <v>0</v>
      </c>
      <c r="F25" s="437">
        <f>TREND(C25:E25,C4:E4,F4:H4,)</f>
        <v>0</v>
      </c>
      <c r="G25" s="437">
        <f>TREND(D25:F25,D4:F4,G4:J4,)</f>
        <v>0</v>
      </c>
      <c r="H25" s="437">
        <f>TREND(E25:G25,E4:G4,H4:K4,)</f>
        <v>0</v>
      </c>
      <c r="J25" s="437">
        <v>0</v>
      </c>
      <c r="K25" s="437">
        <v>0</v>
      </c>
      <c r="L25" s="437">
        <v>0</v>
      </c>
      <c r="M25" s="437">
        <f>TREND(J25:L25,J4:L4,M4,)</f>
        <v>0</v>
      </c>
      <c r="N25" s="437">
        <f t="shared" ref="N25" si="34">TREND(K25:M25,K4:M4,N4,)</f>
        <v>0</v>
      </c>
      <c r="O25" s="437">
        <f t="shared" ref="O25" si="35">TREND(L25:N25,L4:N4,O4,)</f>
        <v>0</v>
      </c>
    </row>
    <row r="26" spans="1:15" x14ac:dyDescent="0.25">
      <c r="A26" s="611" t="s">
        <v>1008</v>
      </c>
      <c r="B26" s="611"/>
      <c r="C26" s="441">
        <f>(C25*1)*(10/6)</f>
        <v>0</v>
      </c>
      <c r="D26" s="441">
        <f t="shared" ref="D26:H26" si="36">(D25*1)*(10/6)</f>
        <v>0</v>
      </c>
      <c r="E26" s="441">
        <f t="shared" si="36"/>
        <v>0</v>
      </c>
      <c r="F26" s="441">
        <f t="shared" si="36"/>
        <v>0</v>
      </c>
      <c r="G26" s="441">
        <f t="shared" si="36"/>
        <v>0</v>
      </c>
      <c r="H26" s="441">
        <f t="shared" si="36"/>
        <v>0</v>
      </c>
      <c r="J26" s="441">
        <f>(J25*1)*(10/6)</f>
        <v>0</v>
      </c>
      <c r="K26" s="441">
        <f t="shared" ref="K26:O26" si="37">(K25*1)*(10/6)</f>
        <v>0</v>
      </c>
      <c r="L26" s="441">
        <f t="shared" si="37"/>
        <v>0</v>
      </c>
      <c r="M26" s="441">
        <f t="shared" si="37"/>
        <v>0</v>
      </c>
      <c r="N26" s="441">
        <f t="shared" si="37"/>
        <v>0</v>
      </c>
      <c r="O26" s="441">
        <f t="shared" si="37"/>
        <v>0</v>
      </c>
    </row>
    <row r="27" spans="1:15" x14ac:dyDescent="0.25">
      <c r="A27" s="613" t="s">
        <v>1007</v>
      </c>
      <c r="B27" s="613"/>
      <c r="C27" s="444">
        <f t="shared" ref="C27:H27" si="38">C8*0.15+C10*0.1+C14*0.1+C17*0.2+C20*0.2+C24*0.15+C26*0.1</f>
        <v>0</v>
      </c>
      <c r="D27" s="444">
        <f t="shared" si="38"/>
        <v>0</v>
      </c>
      <c r="E27" s="444">
        <f t="shared" si="38"/>
        <v>0</v>
      </c>
      <c r="F27" s="444">
        <f t="shared" si="38"/>
        <v>0</v>
      </c>
      <c r="G27" s="444">
        <f t="shared" si="38"/>
        <v>0</v>
      </c>
      <c r="H27" s="444">
        <f t="shared" si="38"/>
        <v>0</v>
      </c>
      <c r="J27" s="447">
        <f t="shared" ref="J27:O27" si="39">J8*0.15+J10*0.1+J14*0.1+J17*0.2+J20*0.2+J24*0.15+J26*0.1</f>
        <v>0</v>
      </c>
      <c r="K27" s="447">
        <f t="shared" si="39"/>
        <v>0</v>
      </c>
      <c r="L27" s="447">
        <f t="shared" si="39"/>
        <v>0</v>
      </c>
      <c r="M27" s="447">
        <f t="shared" si="39"/>
        <v>0</v>
      </c>
      <c r="N27" s="447">
        <f t="shared" si="39"/>
        <v>0</v>
      </c>
      <c r="O27" s="447">
        <f t="shared" si="39"/>
        <v>0</v>
      </c>
    </row>
    <row r="28" spans="1:15" x14ac:dyDescent="0.25">
      <c r="A28" s="608"/>
      <c r="B28" s="608"/>
      <c r="C28" s="608"/>
      <c r="D28" s="608"/>
      <c r="E28" s="608"/>
    </row>
  </sheetData>
  <mergeCells count="23">
    <mergeCell ref="A1:O1"/>
    <mergeCell ref="A17:B17"/>
    <mergeCell ref="A15:A16"/>
    <mergeCell ref="C3:E3"/>
    <mergeCell ref="F3:H3"/>
    <mergeCell ref="A20:B20"/>
    <mergeCell ref="A18:A19"/>
    <mergeCell ref="C2:H2"/>
    <mergeCell ref="A2:A4"/>
    <mergeCell ref="B2:B4"/>
    <mergeCell ref="J2:O2"/>
    <mergeCell ref="A28:E28"/>
    <mergeCell ref="J3:L3"/>
    <mergeCell ref="M3:O3"/>
    <mergeCell ref="A24:B24"/>
    <mergeCell ref="A21:A23"/>
    <mergeCell ref="A26:B26"/>
    <mergeCell ref="A27:B27"/>
    <mergeCell ref="A5:A7"/>
    <mergeCell ref="A8:B8"/>
    <mergeCell ref="A10:B10"/>
    <mergeCell ref="A14:B14"/>
    <mergeCell ref="A11:A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25:S28"/>
  <sheetViews>
    <sheetView showGridLines="0" topLeftCell="B13" workbookViewId="0">
      <selection activeCell="N26" sqref="N26"/>
    </sheetView>
  </sheetViews>
  <sheetFormatPr baseColWidth="10" defaultColWidth="9.140625" defaultRowHeight="15" x14ac:dyDescent="0.25"/>
  <cols>
    <col min="1" max="12" width="9.140625" style="66"/>
    <col min="13" max="13" width="31" style="66" customWidth="1"/>
    <col min="14" max="16" width="11.5703125" style="66" customWidth="1"/>
    <col min="17" max="16384" width="9.140625" style="66"/>
  </cols>
  <sheetData>
    <row r="25" spans="13:19" x14ac:dyDescent="0.25">
      <c r="M25" s="453" t="s">
        <v>1016</v>
      </c>
      <c r="N25" s="451" t="s">
        <v>1013</v>
      </c>
      <c r="O25" s="451" t="s">
        <v>1014</v>
      </c>
      <c r="P25" s="451" t="s">
        <v>1015</v>
      </c>
      <c r="Q25" s="452"/>
      <c r="R25" s="452"/>
      <c r="S25" s="452"/>
    </row>
    <row r="26" spans="13:19" x14ac:dyDescent="0.25">
      <c r="M26" s="440" t="s">
        <v>1012</v>
      </c>
      <c r="N26" s="66">
        <f>AVERAGE('Tendances et prévisions'!C27,'Tendances et prévisions'!J27)</f>
        <v>0</v>
      </c>
      <c r="O26" s="66">
        <f>AVERAGE('Tendances et prévisions'!D27,'Tendances et prévisions'!K27)</f>
        <v>0</v>
      </c>
      <c r="P26" s="66">
        <f>AVERAGE('Tendances et prévisions'!E27,'Tendances et prévisions'!L27)</f>
        <v>0</v>
      </c>
    </row>
    <row r="27" spans="13:19" x14ac:dyDescent="0.25">
      <c r="M27" s="440" t="s">
        <v>1017</v>
      </c>
      <c r="N27" s="66">
        <f>MAX('Tendances et prévisions'!C27,'Tendances et prévisions'!J27)</f>
        <v>0</v>
      </c>
      <c r="O27" s="66">
        <f>MAX('Tendances et prévisions'!D27,'Tendances et prévisions'!K27)</f>
        <v>0</v>
      </c>
      <c r="P27" s="66">
        <f>MAX('Tendances et prévisions'!E27,'Tendances et prévisions'!L27)</f>
        <v>0</v>
      </c>
    </row>
    <row r="28" spans="13:19" x14ac:dyDescent="0.25">
      <c r="M28" s="440" t="s">
        <v>1018</v>
      </c>
      <c r="N28" s="66">
        <f>MIN('Tendances et prévisions'!C27,'Tendances et prévisions'!J27)</f>
        <v>0</v>
      </c>
      <c r="O28" s="66">
        <f>MIN('Tendances et prévisions'!D27,'Tendances et prévisions'!K27)</f>
        <v>0</v>
      </c>
      <c r="P28" s="66">
        <f>MIN('Tendances et prévisions'!E27,'Tendances et prévisions'!L27)</f>
        <v>0</v>
      </c>
    </row>
  </sheetData>
  <pageMargins left="0.7" right="0.7" top="0.75" bottom="0.75" header="0.3" footer="0.3"/>
  <pageSetup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C29"/>
  <sheetViews>
    <sheetView showGridLines="0" zoomScale="85" zoomScaleNormal="85" workbookViewId="0">
      <selection activeCell="BU20" sqref="BU20"/>
    </sheetView>
  </sheetViews>
  <sheetFormatPr baseColWidth="10" defaultColWidth="11.42578125" defaultRowHeight="15" x14ac:dyDescent="0.25"/>
  <cols>
    <col min="3" max="3" width="40.28515625" customWidth="1"/>
    <col min="4" max="4" width="19.85546875" customWidth="1"/>
    <col min="5" max="5" width="16.5703125" customWidth="1"/>
    <col min="7" max="7" width="21.85546875" customWidth="1"/>
    <col min="8" max="8" width="18" customWidth="1"/>
    <col min="9" max="9" width="16.140625" customWidth="1"/>
    <col min="10" max="10" width="11.42578125" customWidth="1"/>
    <col min="11" max="11" width="30.5703125" bestFit="1" customWidth="1"/>
    <col min="12" max="12" width="16" customWidth="1"/>
    <col min="13" max="13" width="16.28515625" customWidth="1"/>
    <col min="15" max="15" width="34" customWidth="1"/>
    <col min="16" max="16" width="16.28515625" customWidth="1"/>
    <col min="17" max="17" width="17" customWidth="1"/>
    <col min="19" max="19" width="17.42578125" customWidth="1"/>
    <col min="20" max="20" width="16.42578125" customWidth="1"/>
    <col min="21" max="21" width="19.7109375" customWidth="1"/>
    <col min="23" max="23" width="17.5703125" customWidth="1"/>
    <col min="25" max="25" width="14.5703125" customWidth="1"/>
    <col min="27" max="27" width="23.28515625" customWidth="1"/>
    <col min="29" max="29" width="14.5703125" customWidth="1"/>
    <col min="31" max="31" width="16.28515625" customWidth="1"/>
    <col min="33" max="33" width="15.5703125" customWidth="1"/>
    <col min="35" max="35" width="15.7109375" bestFit="1" customWidth="1"/>
    <col min="37" max="37" width="16" customWidth="1"/>
    <col min="39" max="39" width="19.5703125" customWidth="1"/>
    <col min="41" max="41" width="15" customWidth="1"/>
    <col min="43" max="43" width="24.28515625" bestFit="1" customWidth="1"/>
    <col min="45" max="45" width="15.42578125" customWidth="1"/>
    <col min="47" max="47" width="12.7109375" bestFit="1" customWidth="1"/>
    <col min="49" max="49" width="14.5703125" customWidth="1"/>
    <col min="51" max="51" width="28.140625" bestFit="1" customWidth="1"/>
    <col min="53" max="53" width="14.5703125" customWidth="1"/>
    <col min="55" max="55" width="14.28515625" customWidth="1"/>
    <col min="57" max="57" width="13.5703125" style="266" customWidth="1"/>
    <col min="59" max="59" width="42.42578125" customWidth="1"/>
    <col min="61" max="61" width="15.5703125" customWidth="1"/>
    <col min="63" max="63" width="16" customWidth="1"/>
    <col min="65" max="65" width="15.42578125" customWidth="1"/>
    <col min="67" max="67" width="20" customWidth="1"/>
    <col min="69" max="69" width="15.42578125" customWidth="1"/>
    <col min="71" max="71" width="30.7109375" bestFit="1" customWidth="1"/>
    <col min="73" max="73" width="14.5703125" customWidth="1"/>
    <col min="75" max="75" width="31.28515625" customWidth="1"/>
    <col min="77" max="77" width="15.140625" customWidth="1"/>
    <col min="79" max="79" width="22.7109375" bestFit="1" customWidth="1"/>
    <col min="81" max="81" width="14.7109375" bestFit="1" customWidth="1"/>
  </cols>
  <sheetData>
    <row r="1" spans="3:81" s="125" customFormat="1" x14ac:dyDescent="0.25">
      <c r="C1" s="7" t="s">
        <v>450</v>
      </c>
      <c r="D1" s="6" t="s">
        <v>451</v>
      </c>
      <c r="E1" s="6" t="s">
        <v>195</v>
      </c>
      <c r="G1" s="7" t="s">
        <v>450</v>
      </c>
      <c r="H1" s="6" t="s">
        <v>451</v>
      </c>
      <c r="I1" s="6" t="s">
        <v>23</v>
      </c>
      <c r="K1" s="7" t="s">
        <v>450</v>
      </c>
      <c r="L1" s="6" t="s">
        <v>451</v>
      </c>
      <c r="M1" s="6" t="s">
        <v>23</v>
      </c>
      <c r="O1" s="7" t="s">
        <v>450</v>
      </c>
      <c r="P1" s="6" t="s">
        <v>451</v>
      </c>
      <c r="Q1" s="6" t="s">
        <v>23</v>
      </c>
      <c r="S1" s="7" t="s">
        <v>450</v>
      </c>
      <c r="T1" s="6" t="s">
        <v>451</v>
      </c>
      <c r="U1" s="6" t="s">
        <v>23</v>
      </c>
      <c r="W1" s="7" t="s">
        <v>450</v>
      </c>
      <c r="X1" s="6" t="s">
        <v>451</v>
      </c>
      <c r="Y1" s="6" t="s">
        <v>23</v>
      </c>
      <c r="AA1" s="7" t="s">
        <v>450</v>
      </c>
      <c r="AB1" s="6" t="s">
        <v>451</v>
      </c>
      <c r="AC1" s="6" t="s">
        <v>23</v>
      </c>
      <c r="AE1" s="145" t="s">
        <v>450</v>
      </c>
      <c r="AF1" s="6" t="s">
        <v>451</v>
      </c>
      <c r="AG1" s="6" t="s">
        <v>23</v>
      </c>
      <c r="AI1" s="145" t="s">
        <v>450</v>
      </c>
      <c r="AJ1" s="6" t="s">
        <v>451</v>
      </c>
      <c r="AK1" s="6" t="s">
        <v>23</v>
      </c>
      <c r="AM1" s="145" t="s">
        <v>450</v>
      </c>
      <c r="AN1" s="6" t="s">
        <v>451</v>
      </c>
      <c r="AO1" s="6" t="s">
        <v>23</v>
      </c>
      <c r="AQ1" s="145" t="s">
        <v>450</v>
      </c>
      <c r="AR1" s="6" t="s">
        <v>451</v>
      </c>
      <c r="AS1" s="6" t="s">
        <v>23</v>
      </c>
      <c r="AU1" s="145" t="s">
        <v>450</v>
      </c>
      <c r="AV1" s="6" t="s">
        <v>451</v>
      </c>
      <c r="AW1" s="6" t="s">
        <v>23</v>
      </c>
      <c r="AY1" s="145" t="s">
        <v>450</v>
      </c>
      <c r="AZ1" s="6" t="s">
        <v>451</v>
      </c>
      <c r="BA1" s="6" t="s">
        <v>23</v>
      </c>
      <c r="BC1" s="145" t="s">
        <v>450</v>
      </c>
      <c r="BD1" s="6" t="s">
        <v>451</v>
      </c>
      <c r="BE1" s="6" t="s">
        <v>23</v>
      </c>
      <c r="BG1" s="145" t="s">
        <v>450</v>
      </c>
      <c r="BH1" s="6" t="s">
        <v>451</v>
      </c>
      <c r="BI1" s="6" t="s">
        <v>23</v>
      </c>
      <c r="BK1" s="145" t="s">
        <v>450</v>
      </c>
      <c r="BL1" s="6" t="s">
        <v>451</v>
      </c>
      <c r="BM1" s="6" t="s">
        <v>23</v>
      </c>
      <c r="BO1" s="145" t="s">
        <v>450</v>
      </c>
      <c r="BP1" s="6" t="s">
        <v>451</v>
      </c>
      <c r="BQ1" s="6" t="s">
        <v>23</v>
      </c>
      <c r="BS1" s="145" t="s">
        <v>450</v>
      </c>
      <c r="BT1" s="6" t="s">
        <v>451</v>
      </c>
      <c r="BU1" s="6" t="s">
        <v>23</v>
      </c>
      <c r="BW1" s="145" t="s">
        <v>450</v>
      </c>
      <c r="BX1" s="6" t="s">
        <v>451</v>
      </c>
      <c r="BY1" s="6" t="s">
        <v>23</v>
      </c>
      <c r="CA1" s="145" t="s">
        <v>450</v>
      </c>
      <c r="CB1" s="6" t="s">
        <v>451</v>
      </c>
      <c r="CC1" s="6" t="s">
        <v>23</v>
      </c>
    </row>
    <row r="2" spans="3:81" x14ac:dyDescent="0.25">
      <c r="C2" s="1" t="s">
        <v>707</v>
      </c>
      <c r="D2" s="1">
        <v>1</v>
      </c>
      <c r="E2" s="2">
        <v>1.4999999999999999E-2</v>
      </c>
      <c r="G2" s="1" t="s">
        <v>130</v>
      </c>
      <c r="H2" s="2">
        <v>1</v>
      </c>
      <c r="I2" s="2">
        <v>0.01</v>
      </c>
      <c r="K2" s="1" t="s">
        <v>177</v>
      </c>
      <c r="L2" s="2">
        <v>1</v>
      </c>
      <c r="M2" s="2">
        <v>0.01</v>
      </c>
      <c r="O2" s="1" t="s">
        <v>133</v>
      </c>
      <c r="P2" s="2">
        <v>1</v>
      </c>
      <c r="Q2" s="1">
        <v>0.02</v>
      </c>
      <c r="S2" s="1" t="s">
        <v>141</v>
      </c>
      <c r="T2" s="2">
        <v>1</v>
      </c>
      <c r="U2" s="1">
        <v>0.02</v>
      </c>
      <c r="W2" s="1" t="s">
        <v>192</v>
      </c>
      <c r="X2" s="2">
        <v>1</v>
      </c>
      <c r="Y2" s="1">
        <v>1.4999999999999999E-2</v>
      </c>
      <c r="AA2" s="291" t="s">
        <v>177</v>
      </c>
      <c r="AB2" s="2">
        <v>1</v>
      </c>
      <c r="AC2" s="2">
        <v>0.01</v>
      </c>
      <c r="AE2" s="1" t="s">
        <v>160</v>
      </c>
      <c r="AF2" s="2">
        <v>1</v>
      </c>
      <c r="AG2" s="2">
        <v>0.04</v>
      </c>
      <c r="AI2" s="1" t="s">
        <v>160</v>
      </c>
      <c r="AJ2" s="2">
        <v>1</v>
      </c>
      <c r="AK2" s="2">
        <v>0.02</v>
      </c>
      <c r="AM2" s="1" t="s">
        <v>160</v>
      </c>
      <c r="AN2" s="2">
        <v>1</v>
      </c>
      <c r="AO2" s="2">
        <v>0.02</v>
      </c>
      <c r="AQ2" s="1" t="s">
        <v>165</v>
      </c>
      <c r="AR2" s="2">
        <v>1</v>
      </c>
      <c r="AS2" s="2">
        <v>0.02</v>
      </c>
      <c r="AU2" s="1" t="s">
        <v>160</v>
      </c>
      <c r="AV2" s="2">
        <v>1</v>
      </c>
      <c r="AW2" s="2">
        <v>0.01</v>
      </c>
      <c r="AY2" s="1" t="s">
        <v>155</v>
      </c>
      <c r="AZ2" s="2">
        <v>1</v>
      </c>
      <c r="BA2" s="2">
        <v>0.03</v>
      </c>
      <c r="BC2" s="1" t="s">
        <v>160</v>
      </c>
      <c r="BD2" s="2">
        <v>1</v>
      </c>
      <c r="BE2" s="268">
        <v>0.01</v>
      </c>
      <c r="BG2" s="291" t="s">
        <v>764</v>
      </c>
      <c r="BH2" s="2">
        <v>1</v>
      </c>
      <c r="BI2" s="2">
        <v>0.01</v>
      </c>
      <c r="BK2" s="291" t="s">
        <v>205</v>
      </c>
      <c r="BL2" s="2">
        <v>1</v>
      </c>
      <c r="BM2" s="2">
        <v>0.03</v>
      </c>
      <c r="BO2" s="291" t="s">
        <v>160</v>
      </c>
      <c r="BP2" s="2">
        <v>1</v>
      </c>
      <c r="BQ2" s="2">
        <v>0.08</v>
      </c>
      <c r="BS2" s="1" t="s">
        <v>215</v>
      </c>
      <c r="BT2" s="2">
        <v>1</v>
      </c>
      <c r="BU2" s="2">
        <v>0.02</v>
      </c>
      <c r="BW2" s="146" t="s">
        <v>225</v>
      </c>
      <c r="BX2" s="2">
        <v>1</v>
      </c>
      <c r="BY2" s="2">
        <v>7.0000000000000007E-2</v>
      </c>
      <c r="CA2" s="1" t="s">
        <v>471</v>
      </c>
      <c r="CB2" s="64">
        <v>1</v>
      </c>
      <c r="CC2" s="64" t="s">
        <v>238</v>
      </c>
    </row>
    <row r="3" spans="3:81" x14ac:dyDescent="0.25">
      <c r="C3" s="1" t="s">
        <v>417</v>
      </c>
      <c r="D3" s="1">
        <v>2</v>
      </c>
      <c r="E3" s="2">
        <v>0.03</v>
      </c>
      <c r="G3" s="1" t="s">
        <v>182</v>
      </c>
      <c r="H3" s="2">
        <v>2</v>
      </c>
      <c r="I3" s="2">
        <v>0.02</v>
      </c>
      <c r="K3" s="1" t="s">
        <v>178</v>
      </c>
      <c r="L3" s="2">
        <v>2</v>
      </c>
      <c r="M3" s="2">
        <v>0.02</v>
      </c>
      <c r="O3" s="1" t="s">
        <v>134</v>
      </c>
      <c r="P3" s="2">
        <v>2</v>
      </c>
      <c r="Q3" s="1">
        <v>0.02</v>
      </c>
      <c r="S3" s="1" t="s">
        <v>64</v>
      </c>
      <c r="T3" s="2">
        <v>2</v>
      </c>
      <c r="U3" s="1">
        <v>0.02</v>
      </c>
      <c r="W3" s="1" t="s">
        <v>470</v>
      </c>
      <c r="X3" s="2">
        <v>2</v>
      </c>
      <c r="Y3" s="1"/>
      <c r="AA3" s="291" t="s">
        <v>196</v>
      </c>
      <c r="AB3" s="2">
        <v>2</v>
      </c>
      <c r="AC3" s="2">
        <v>0.01</v>
      </c>
      <c r="AE3" s="1" t="s">
        <v>121</v>
      </c>
      <c r="AF3" s="2">
        <v>2</v>
      </c>
      <c r="AG3" s="2">
        <v>0.04</v>
      </c>
      <c r="AI3" s="1" t="s">
        <v>121</v>
      </c>
      <c r="AJ3" s="2">
        <v>2</v>
      </c>
      <c r="AK3" s="2">
        <v>0.02</v>
      </c>
      <c r="AM3" s="1" t="s">
        <v>121</v>
      </c>
      <c r="AN3" s="2">
        <v>2</v>
      </c>
      <c r="AO3" s="2">
        <v>0.02</v>
      </c>
      <c r="AQ3" s="1" t="s">
        <v>507</v>
      </c>
      <c r="AR3" s="2">
        <v>2</v>
      </c>
      <c r="AS3" s="2">
        <v>0.02</v>
      </c>
      <c r="AU3" s="1" t="s">
        <v>121</v>
      </c>
      <c r="AV3" s="2">
        <v>2</v>
      </c>
      <c r="AW3" s="2">
        <v>0.02</v>
      </c>
      <c r="AY3" s="1" t="s">
        <v>235</v>
      </c>
      <c r="AZ3" s="2">
        <v>2</v>
      </c>
      <c r="BA3" s="2">
        <v>0.02</v>
      </c>
      <c r="BC3" s="1" t="s">
        <v>121</v>
      </c>
      <c r="BD3" s="2">
        <v>2</v>
      </c>
      <c r="BE3" s="268"/>
      <c r="BG3" s="291" t="s">
        <v>767</v>
      </c>
      <c r="BH3" s="2">
        <v>2</v>
      </c>
      <c r="BI3" s="2">
        <v>0.02</v>
      </c>
      <c r="BK3" s="291" t="s">
        <v>206</v>
      </c>
      <c r="BL3" s="2">
        <v>2</v>
      </c>
      <c r="BM3" s="2"/>
      <c r="BO3" s="291" t="s">
        <v>121</v>
      </c>
      <c r="BP3" s="2">
        <v>2</v>
      </c>
      <c r="BQ3" s="2"/>
      <c r="BS3" s="1" t="s">
        <v>218</v>
      </c>
      <c r="BT3" s="2">
        <v>2</v>
      </c>
      <c r="BU3" s="2"/>
      <c r="BW3" s="146" t="s">
        <v>226</v>
      </c>
      <c r="BX3" s="2">
        <v>2</v>
      </c>
      <c r="BY3" s="2"/>
      <c r="CA3" s="1" t="s">
        <v>472</v>
      </c>
      <c r="CB3" s="64">
        <v>2</v>
      </c>
      <c r="CC3" s="64"/>
    </row>
    <row r="4" spans="3:81" x14ac:dyDescent="0.25">
      <c r="C4" s="1" t="s">
        <v>708</v>
      </c>
      <c r="D4" s="1">
        <v>3</v>
      </c>
      <c r="E4" s="2">
        <v>4.4999999999999998E-2</v>
      </c>
      <c r="G4" s="1" t="s">
        <v>131</v>
      </c>
      <c r="H4" s="2">
        <v>3</v>
      </c>
      <c r="I4" s="2">
        <v>0.03</v>
      </c>
      <c r="K4" s="1" t="s">
        <v>122</v>
      </c>
      <c r="L4" s="2">
        <v>3</v>
      </c>
      <c r="M4" s="2">
        <v>0.03</v>
      </c>
      <c r="O4" s="1" t="s">
        <v>135</v>
      </c>
      <c r="P4" s="2">
        <v>3</v>
      </c>
      <c r="Q4" s="1">
        <v>0.06</v>
      </c>
      <c r="S4" s="1" t="s">
        <v>142</v>
      </c>
      <c r="T4" s="2">
        <v>3</v>
      </c>
      <c r="U4" s="1">
        <v>0.06</v>
      </c>
      <c r="W4" s="1" t="s">
        <v>185</v>
      </c>
      <c r="X4" s="2">
        <v>3</v>
      </c>
      <c r="Y4" s="1">
        <v>4.4999999999999998E-2</v>
      </c>
      <c r="AA4" s="291" t="s">
        <v>197</v>
      </c>
      <c r="AB4" s="2">
        <v>3</v>
      </c>
      <c r="AC4" s="2">
        <v>0.03</v>
      </c>
      <c r="AE4" s="1" t="s">
        <v>122</v>
      </c>
      <c r="AF4" s="2">
        <v>3</v>
      </c>
      <c r="AG4" s="2">
        <v>0.12</v>
      </c>
      <c r="AI4" s="1" t="s">
        <v>122</v>
      </c>
      <c r="AJ4" s="2">
        <v>3</v>
      </c>
      <c r="AK4" s="2">
        <v>0.06</v>
      </c>
      <c r="AM4" s="1" t="s">
        <v>122</v>
      </c>
      <c r="AN4" s="2">
        <v>3</v>
      </c>
      <c r="AO4" s="2">
        <v>0.06</v>
      </c>
      <c r="AQ4" s="1" t="s">
        <v>167</v>
      </c>
      <c r="AR4" s="2">
        <v>3</v>
      </c>
      <c r="AS4" s="2">
        <v>0.06</v>
      </c>
      <c r="AU4" s="1" t="s">
        <v>122</v>
      </c>
      <c r="AV4" s="2">
        <v>3</v>
      </c>
      <c r="AW4" s="2">
        <v>0.03</v>
      </c>
      <c r="AY4" s="1" t="s">
        <v>236</v>
      </c>
      <c r="AZ4" s="2">
        <v>3</v>
      </c>
      <c r="BA4" s="2">
        <v>0.09</v>
      </c>
      <c r="BC4" s="1" t="s">
        <v>122</v>
      </c>
      <c r="BD4" s="2">
        <v>3</v>
      </c>
      <c r="BE4" s="268">
        <v>0.03</v>
      </c>
      <c r="BG4" s="291" t="s">
        <v>768</v>
      </c>
      <c r="BH4" s="2">
        <v>3</v>
      </c>
      <c r="BI4" s="2">
        <v>0.03</v>
      </c>
      <c r="BK4" s="291" t="s">
        <v>207</v>
      </c>
      <c r="BL4" s="2">
        <v>3</v>
      </c>
      <c r="BM4" s="2" t="s">
        <v>237</v>
      </c>
      <c r="BO4" s="291" t="s">
        <v>122</v>
      </c>
      <c r="BP4" s="2">
        <v>3</v>
      </c>
      <c r="BQ4" s="2">
        <v>0.24</v>
      </c>
      <c r="BS4" s="1" t="s">
        <v>219</v>
      </c>
      <c r="BT4" s="2">
        <v>3</v>
      </c>
      <c r="BU4" s="2">
        <v>0.06</v>
      </c>
      <c r="BW4" s="146" t="s">
        <v>227</v>
      </c>
      <c r="BX4" s="2">
        <v>3</v>
      </c>
      <c r="BY4" s="2">
        <v>0.21</v>
      </c>
      <c r="CA4" s="1" t="s">
        <v>473</v>
      </c>
      <c r="CB4" s="64">
        <v>3</v>
      </c>
      <c r="CC4" s="64" t="s">
        <v>239</v>
      </c>
    </row>
    <row r="5" spans="3:81" x14ac:dyDescent="0.25">
      <c r="C5" s="1" t="s">
        <v>709</v>
      </c>
      <c r="D5" s="1">
        <v>4</v>
      </c>
      <c r="E5" s="2">
        <v>0.06</v>
      </c>
      <c r="G5" s="1" t="s">
        <v>132</v>
      </c>
      <c r="H5" s="2">
        <v>4</v>
      </c>
      <c r="I5" s="2">
        <v>0.04</v>
      </c>
      <c r="K5" s="1" t="s">
        <v>123</v>
      </c>
      <c r="L5" s="2">
        <v>4</v>
      </c>
      <c r="M5" s="2">
        <v>0.04</v>
      </c>
      <c r="O5" s="1" t="s">
        <v>136</v>
      </c>
      <c r="P5" s="2">
        <v>4</v>
      </c>
      <c r="Q5" s="1">
        <v>0.08</v>
      </c>
      <c r="S5" s="1" t="s">
        <v>184</v>
      </c>
      <c r="T5" s="2">
        <v>4</v>
      </c>
      <c r="U5" s="1">
        <v>0.08</v>
      </c>
      <c r="W5" s="1" t="s">
        <v>146</v>
      </c>
      <c r="X5" s="2">
        <v>4</v>
      </c>
      <c r="Y5" s="1">
        <v>0.06</v>
      </c>
      <c r="AA5" s="291" t="s">
        <v>198</v>
      </c>
      <c r="AB5" s="2">
        <v>4</v>
      </c>
      <c r="AC5" s="2">
        <v>0.04</v>
      </c>
      <c r="AE5" s="1" t="s">
        <v>161</v>
      </c>
      <c r="AF5" s="2">
        <v>4</v>
      </c>
      <c r="AG5" s="2">
        <v>0.16</v>
      </c>
      <c r="AI5" s="1" t="s">
        <v>161</v>
      </c>
      <c r="AJ5" s="2">
        <v>4</v>
      </c>
      <c r="AK5" s="2">
        <v>0.08</v>
      </c>
      <c r="AM5" s="1" t="s">
        <v>161</v>
      </c>
      <c r="AN5" s="2">
        <v>4</v>
      </c>
      <c r="AO5" s="2">
        <v>0.08</v>
      </c>
      <c r="AQ5" s="1" t="s">
        <v>168</v>
      </c>
      <c r="AR5" s="2">
        <v>4</v>
      </c>
      <c r="AS5" s="2">
        <v>0.08</v>
      </c>
      <c r="AU5" s="1" t="s">
        <v>161</v>
      </c>
      <c r="AV5" s="2">
        <v>4</v>
      </c>
      <c r="AW5" s="2">
        <v>0.04</v>
      </c>
      <c r="AY5" s="1" t="s">
        <v>87</v>
      </c>
      <c r="AZ5" s="2">
        <v>4</v>
      </c>
      <c r="BA5" s="2">
        <v>0.12</v>
      </c>
      <c r="BC5" s="1" t="s">
        <v>161</v>
      </c>
      <c r="BD5" s="2">
        <v>4</v>
      </c>
      <c r="BE5" s="268">
        <v>0.04</v>
      </c>
      <c r="BG5" s="291" t="s">
        <v>769</v>
      </c>
      <c r="BH5" s="2">
        <v>4</v>
      </c>
      <c r="BI5" s="2">
        <v>0.04</v>
      </c>
      <c r="BK5" s="291" t="s">
        <v>208</v>
      </c>
      <c r="BL5" s="2">
        <v>4</v>
      </c>
      <c r="BM5" s="2">
        <v>0.12</v>
      </c>
      <c r="BO5" s="291" t="s">
        <v>161</v>
      </c>
      <c r="BP5" s="2">
        <v>4</v>
      </c>
      <c r="BQ5" s="2">
        <v>0.32</v>
      </c>
      <c r="BS5" s="1" t="s">
        <v>216</v>
      </c>
      <c r="BT5" s="2">
        <v>4</v>
      </c>
      <c r="BU5" s="2">
        <v>0.08</v>
      </c>
      <c r="BW5" s="146" t="s">
        <v>228</v>
      </c>
      <c r="BX5" s="2">
        <v>4</v>
      </c>
      <c r="BY5" s="2">
        <v>0.28000000000000003</v>
      </c>
      <c r="CA5" s="1" t="s">
        <v>474</v>
      </c>
      <c r="CB5" s="64">
        <v>4</v>
      </c>
      <c r="CC5" s="64">
        <v>0.32</v>
      </c>
    </row>
    <row r="6" spans="3:81" x14ac:dyDescent="0.25">
      <c r="C6" s="1" t="s">
        <v>710</v>
      </c>
      <c r="D6" s="1">
        <v>5</v>
      </c>
      <c r="E6" s="2">
        <v>7.4999999999999997E-2</v>
      </c>
      <c r="G6" s="1" t="s">
        <v>171</v>
      </c>
      <c r="H6" s="2">
        <v>5</v>
      </c>
      <c r="I6" s="2">
        <v>0.05</v>
      </c>
      <c r="K6" s="1" t="s">
        <v>124</v>
      </c>
      <c r="L6" s="2">
        <v>5</v>
      </c>
      <c r="M6" s="2">
        <v>0.05</v>
      </c>
      <c r="O6" s="1" t="s">
        <v>180</v>
      </c>
      <c r="P6" s="2">
        <v>5</v>
      </c>
      <c r="Q6" s="1">
        <v>0.1</v>
      </c>
      <c r="S6" s="1" t="s">
        <v>143</v>
      </c>
      <c r="T6" s="2">
        <v>5</v>
      </c>
      <c r="U6" s="1">
        <v>0.1</v>
      </c>
      <c r="W6" s="1" t="s">
        <v>186</v>
      </c>
      <c r="X6" s="2">
        <v>5</v>
      </c>
      <c r="Y6" s="1">
        <v>7.4999999999999997E-2</v>
      </c>
      <c r="AA6" s="291" t="s">
        <v>148</v>
      </c>
      <c r="AB6" s="2">
        <v>5</v>
      </c>
      <c r="AC6" s="2">
        <v>0.05</v>
      </c>
      <c r="AE6" s="1" t="s">
        <v>123</v>
      </c>
      <c r="AF6" s="2">
        <v>5</v>
      </c>
      <c r="AG6" s="2">
        <v>0.2</v>
      </c>
      <c r="AI6" s="1" t="s">
        <v>123</v>
      </c>
      <c r="AJ6" s="2">
        <v>5</v>
      </c>
      <c r="AK6" s="2">
        <v>0.1</v>
      </c>
      <c r="AM6" s="1" t="s">
        <v>123</v>
      </c>
      <c r="AN6" s="2">
        <v>5</v>
      </c>
      <c r="AO6" s="2">
        <v>0.1</v>
      </c>
      <c r="AQ6" s="1" t="s">
        <v>169</v>
      </c>
      <c r="AR6" s="2">
        <v>5</v>
      </c>
      <c r="AS6" s="2">
        <v>0.1</v>
      </c>
      <c r="AU6" s="1" t="s">
        <v>123</v>
      </c>
      <c r="AV6" s="2">
        <v>5</v>
      </c>
      <c r="AW6" s="2">
        <v>0.05</v>
      </c>
      <c r="AY6" s="1" t="s">
        <v>156</v>
      </c>
      <c r="AZ6" s="2">
        <v>5</v>
      </c>
      <c r="BA6" s="2">
        <v>0.15</v>
      </c>
      <c r="BC6" s="1" t="s">
        <v>123</v>
      </c>
      <c r="BD6" s="2">
        <v>5</v>
      </c>
      <c r="BE6" s="268">
        <v>0.05</v>
      </c>
      <c r="BG6" s="291" t="s">
        <v>765</v>
      </c>
      <c r="BH6" s="2">
        <v>5</v>
      </c>
      <c r="BI6" s="2">
        <v>0.05</v>
      </c>
      <c r="BK6" s="291" t="s">
        <v>209</v>
      </c>
      <c r="BL6" s="2">
        <v>5</v>
      </c>
      <c r="BM6" s="2">
        <v>0.15</v>
      </c>
      <c r="BO6" s="291" t="s">
        <v>123</v>
      </c>
      <c r="BP6" s="2">
        <v>5</v>
      </c>
      <c r="BQ6" s="2">
        <v>0.4</v>
      </c>
      <c r="BS6" s="1" t="s">
        <v>217</v>
      </c>
      <c r="BT6" s="2">
        <v>5</v>
      </c>
      <c r="BU6" s="2">
        <v>0.1</v>
      </c>
      <c r="BW6" s="146" t="s">
        <v>774</v>
      </c>
      <c r="BX6" s="280">
        <v>5</v>
      </c>
      <c r="BY6" s="280">
        <v>0.28000000000000003</v>
      </c>
      <c r="CA6" s="1" t="s">
        <v>475</v>
      </c>
      <c r="CB6" s="64">
        <v>5</v>
      </c>
      <c r="CC6" s="64">
        <v>0.4</v>
      </c>
    </row>
    <row r="7" spans="3:81" x14ac:dyDescent="0.25">
      <c r="C7" s="1" t="s">
        <v>711</v>
      </c>
      <c r="D7" s="1">
        <v>6</v>
      </c>
      <c r="E7" s="2">
        <v>0.09</v>
      </c>
      <c r="G7" s="1" t="s">
        <v>172</v>
      </c>
      <c r="H7" s="2">
        <v>6</v>
      </c>
      <c r="I7" s="2">
        <v>0.06</v>
      </c>
      <c r="K7" s="1" t="s">
        <v>125</v>
      </c>
      <c r="L7" s="2">
        <v>6</v>
      </c>
      <c r="M7" s="2">
        <v>0.06</v>
      </c>
      <c r="O7" s="1" t="s">
        <v>181</v>
      </c>
      <c r="P7" s="2">
        <v>6</v>
      </c>
      <c r="Q7" s="1">
        <v>0.12</v>
      </c>
      <c r="S7" s="1" t="s">
        <v>34</v>
      </c>
      <c r="T7" s="2">
        <v>6</v>
      </c>
      <c r="U7" s="1">
        <v>0.12</v>
      </c>
      <c r="W7" s="1" t="s">
        <v>187</v>
      </c>
      <c r="X7" s="2">
        <v>6</v>
      </c>
      <c r="Y7" s="1">
        <v>0.09</v>
      </c>
      <c r="AA7" s="291" t="s">
        <v>149</v>
      </c>
      <c r="AB7" s="2">
        <v>6</v>
      </c>
      <c r="AC7" s="2">
        <v>0.06</v>
      </c>
      <c r="AE7" s="1" t="s">
        <v>203</v>
      </c>
      <c r="AF7" s="2">
        <v>6</v>
      </c>
      <c r="AG7" s="2">
        <v>0.24</v>
      </c>
      <c r="AI7" s="1" t="s">
        <v>203</v>
      </c>
      <c r="AJ7" s="2">
        <v>6</v>
      </c>
      <c r="AK7" s="2">
        <v>0.12</v>
      </c>
      <c r="AM7" s="1" t="s">
        <v>203</v>
      </c>
      <c r="AN7" s="2">
        <v>6</v>
      </c>
      <c r="AO7" s="2">
        <v>0.12</v>
      </c>
      <c r="AQ7" s="1" t="s">
        <v>147</v>
      </c>
      <c r="AR7" s="2">
        <v>6</v>
      </c>
      <c r="AS7" s="2">
        <v>0.12</v>
      </c>
      <c r="AU7" s="1" t="s">
        <v>142</v>
      </c>
      <c r="AV7" s="2">
        <v>6</v>
      </c>
      <c r="AW7" s="2">
        <v>0.06</v>
      </c>
      <c r="AY7" s="1" t="s">
        <v>157</v>
      </c>
      <c r="AZ7" s="2">
        <v>6</v>
      </c>
      <c r="BA7" s="2">
        <v>0.18</v>
      </c>
      <c r="BC7" s="1" t="s">
        <v>200</v>
      </c>
      <c r="BD7" s="2">
        <v>6</v>
      </c>
      <c r="BE7" s="268">
        <v>0.06</v>
      </c>
      <c r="BG7" s="291" t="s">
        <v>766</v>
      </c>
      <c r="BH7" s="2">
        <v>6</v>
      </c>
      <c r="BI7" s="2">
        <v>0.06</v>
      </c>
      <c r="BK7" s="291" t="s">
        <v>210</v>
      </c>
      <c r="BL7" s="2">
        <v>6</v>
      </c>
      <c r="BM7" s="2">
        <v>0.18</v>
      </c>
      <c r="BO7" s="291" t="s">
        <v>203</v>
      </c>
      <c r="BP7" s="2">
        <v>6</v>
      </c>
      <c r="BQ7" s="2">
        <v>0.48</v>
      </c>
      <c r="BS7" s="1" t="s">
        <v>220</v>
      </c>
      <c r="BT7" s="2">
        <v>6</v>
      </c>
      <c r="BU7" s="2">
        <v>0.12</v>
      </c>
      <c r="BW7" s="146" t="s">
        <v>770</v>
      </c>
      <c r="BX7" s="280">
        <v>6</v>
      </c>
      <c r="BY7" s="280">
        <v>0.28000000000000003</v>
      </c>
      <c r="CA7" s="1" t="s">
        <v>476</v>
      </c>
      <c r="CB7" s="64">
        <v>6</v>
      </c>
      <c r="CC7" s="64">
        <v>0.48</v>
      </c>
    </row>
    <row r="8" spans="3:81" x14ac:dyDescent="0.25">
      <c r="C8" s="1" t="s">
        <v>27</v>
      </c>
      <c r="D8" s="1">
        <v>7</v>
      </c>
      <c r="E8" s="2">
        <v>0.105</v>
      </c>
      <c r="G8" s="1" t="s">
        <v>173</v>
      </c>
      <c r="H8" s="2">
        <v>7</v>
      </c>
      <c r="I8" s="2">
        <v>7.0000000000000007E-2</v>
      </c>
      <c r="K8" s="1" t="s">
        <v>126</v>
      </c>
      <c r="L8" s="2">
        <v>7</v>
      </c>
      <c r="M8" s="2">
        <v>7.0000000000000007E-2</v>
      </c>
      <c r="O8" s="1" t="s">
        <v>137</v>
      </c>
      <c r="P8" s="2">
        <v>7</v>
      </c>
      <c r="Q8" s="1">
        <v>0.14000000000000001</v>
      </c>
      <c r="S8" s="1" t="s">
        <v>144</v>
      </c>
      <c r="T8" s="2">
        <v>7</v>
      </c>
      <c r="U8" s="1">
        <v>0.14000000000000001</v>
      </c>
      <c r="W8" s="1" t="s">
        <v>188</v>
      </c>
      <c r="X8" s="2">
        <v>7</v>
      </c>
      <c r="Y8" s="1">
        <v>0.105</v>
      </c>
      <c r="AA8" s="291" t="s">
        <v>194</v>
      </c>
      <c r="AB8" s="2">
        <v>7</v>
      </c>
      <c r="AC8" s="2">
        <v>7.0000000000000007E-2</v>
      </c>
      <c r="AE8" s="1" t="s">
        <v>152</v>
      </c>
      <c r="AF8" s="2">
        <v>7</v>
      </c>
      <c r="AG8" s="2">
        <v>0.28000000000000003</v>
      </c>
      <c r="AI8" s="1" t="s">
        <v>152</v>
      </c>
      <c r="AJ8" s="2">
        <v>7</v>
      </c>
      <c r="AK8" s="2">
        <v>0.14000000000000001</v>
      </c>
      <c r="AM8" s="1" t="s">
        <v>152</v>
      </c>
      <c r="AN8" s="2">
        <v>7</v>
      </c>
      <c r="AO8" s="2">
        <v>0.14000000000000001</v>
      </c>
      <c r="AQ8" s="1" t="s">
        <v>231</v>
      </c>
      <c r="AR8" s="2">
        <v>7</v>
      </c>
      <c r="AS8" s="2">
        <v>0.14000000000000001</v>
      </c>
      <c r="AU8" s="1" t="s">
        <v>124</v>
      </c>
      <c r="AV8" s="2">
        <v>7</v>
      </c>
      <c r="AW8" s="2">
        <v>7.0000000000000007E-2</v>
      </c>
      <c r="AY8" s="1" t="s">
        <v>158</v>
      </c>
      <c r="AZ8" s="2">
        <v>7</v>
      </c>
      <c r="BA8" s="2">
        <v>0.21</v>
      </c>
      <c r="BC8" s="1" t="s">
        <v>142</v>
      </c>
      <c r="BD8" s="2">
        <v>7</v>
      </c>
      <c r="BE8" s="268">
        <v>7.0000000000000007E-2</v>
      </c>
      <c r="BG8" s="291" t="s">
        <v>761</v>
      </c>
      <c r="BH8" s="2">
        <v>7</v>
      </c>
      <c r="BI8" s="2">
        <v>7.0000000000000007E-2</v>
      </c>
      <c r="BK8" s="291" t="s">
        <v>211</v>
      </c>
      <c r="BL8" s="2">
        <v>7</v>
      </c>
      <c r="BM8" s="2">
        <v>0.21</v>
      </c>
      <c r="BO8" s="291" t="s">
        <v>152</v>
      </c>
      <c r="BP8" s="2">
        <v>7</v>
      </c>
      <c r="BQ8" s="2">
        <v>0.56000000000000005</v>
      </c>
      <c r="BS8" s="1" t="s">
        <v>221</v>
      </c>
      <c r="BT8" s="2">
        <v>7</v>
      </c>
      <c r="BU8" s="2">
        <v>0.14000000000000001</v>
      </c>
      <c r="BW8" s="146" t="s">
        <v>771</v>
      </c>
      <c r="BX8" s="280">
        <v>7</v>
      </c>
      <c r="BY8" s="280">
        <v>0.28000000000000003</v>
      </c>
      <c r="CA8" s="1" t="s">
        <v>477</v>
      </c>
      <c r="CB8" s="64">
        <v>7</v>
      </c>
      <c r="CC8" s="64">
        <v>0.56000000000000005</v>
      </c>
    </row>
    <row r="9" spans="3:81" x14ac:dyDescent="0.25">
      <c r="C9" s="1" t="s">
        <v>712</v>
      </c>
      <c r="D9" s="1">
        <v>8</v>
      </c>
      <c r="E9" s="2">
        <v>0.12</v>
      </c>
      <c r="G9" s="1" t="s">
        <v>174</v>
      </c>
      <c r="H9" s="2">
        <v>8</v>
      </c>
      <c r="I9" s="2">
        <v>0.08</v>
      </c>
      <c r="K9" s="1" t="s">
        <v>127</v>
      </c>
      <c r="L9" s="2">
        <v>8</v>
      </c>
      <c r="M9" s="2">
        <v>0.08</v>
      </c>
      <c r="O9" s="1" t="s">
        <v>139</v>
      </c>
      <c r="P9" s="2">
        <v>8</v>
      </c>
      <c r="Q9" s="1">
        <v>0.16</v>
      </c>
      <c r="S9" s="1" t="s">
        <v>65</v>
      </c>
      <c r="T9" s="2">
        <v>8</v>
      </c>
      <c r="U9" s="1">
        <v>0.16</v>
      </c>
      <c r="W9" s="1" t="s">
        <v>189</v>
      </c>
      <c r="X9" s="2">
        <v>8</v>
      </c>
      <c r="Y9" s="1">
        <v>0.12</v>
      </c>
      <c r="AA9" s="291" t="s">
        <v>124</v>
      </c>
      <c r="AB9" s="2">
        <v>8</v>
      </c>
      <c r="AC9" s="2">
        <v>0.08</v>
      </c>
      <c r="AE9" s="1" t="s">
        <v>200</v>
      </c>
      <c r="AF9" s="2">
        <v>8</v>
      </c>
      <c r="AG9" s="2">
        <v>0.32</v>
      </c>
      <c r="AI9" s="1" t="s">
        <v>200</v>
      </c>
      <c r="AJ9" s="2">
        <v>8</v>
      </c>
      <c r="AK9" s="2">
        <v>0.16</v>
      </c>
      <c r="AM9" s="1" t="s">
        <v>200</v>
      </c>
      <c r="AN9" s="2">
        <v>8</v>
      </c>
      <c r="AO9" s="2">
        <v>0.16</v>
      </c>
      <c r="AQ9" s="1" t="s">
        <v>232</v>
      </c>
      <c r="AR9" s="2">
        <v>8</v>
      </c>
      <c r="AS9" s="2">
        <v>0.16</v>
      </c>
      <c r="AU9" s="1" t="s">
        <v>162</v>
      </c>
      <c r="AV9" s="2">
        <v>8</v>
      </c>
      <c r="AW9" s="2">
        <v>0.08</v>
      </c>
      <c r="AY9" s="1" t="s">
        <v>159</v>
      </c>
      <c r="AZ9" s="2">
        <v>8</v>
      </c>
      <c r="BA9" s="2">
        <v>0.24</v>
      </c>
      <c r="BC9" s="1" t="s">
        <v>124</v>
      </c>
      <c r="BD9" s="2">
        <v>8</v>
      </c>
      <c r="BE9" s="268">
        <v>0.08</v>
      </c>
      <c r="BG9" s="291" t="s">
        <v>762</v>
      </c>
      <c r="BH9" s="2">
        <v>8</v>
      </c>
      <c r="BI9" s="2">
        <v>0.08</v>
      </c>
      <c r="BK9" s="291" t="s">
        <v>212</v>
      </c>
      <c r="BL9" s="2">
        <v>8</v>
      </c>
      <c r="BM9" s="2">
        <v>0.24</v>
      </c>
      <c r="BO9" s="291" t="s">
        <v>200</v>
      </c>
      <c r="BP9" s="2">
        <v>8</v>
      </c>
      <c r="BQ9" s="2">
        <v>0.64</v>
      </c>
      <c r="BS9" s="1" t="s">
        <v>222</v>
      </c>
      <c r="BT9" s="2">
        <v>8</v>
      </c>
      <c r="BU9" s="2">
        <v>0.16</v>
      </c>
      <c r="BW9" s="146" t="s">
        <v>772</v>
      </c>
      <c r="BX9" s="280">
        <v>8</v>
      </c>
      <c r="BY9" s="280">
        <v>0.28000000000000003</v>
      </c>
      <c r="CA9" s="1" t="s">
        <v>478</v>
      </c>
      <c r="CB9" s="64">
        <v>8</v>
      </c>
      <c r="CC9" s="64">
        <v>0.64</v>
      </c>
    </row>
    <row r="10" spans="3:81" x14ac:dyDescent="0.25">
      <c r="C10" s="1" t="s">
        <v>713</v>
      </c>
      <c r="D10" s="1">
        <v>9</v>
      </c>
      <c r="E10" s="2">
        <v>0.13500000000000001</v>
      </c>
      <c r="G10" s="1" t="s">
        <v>175</v>
      </c>
      <c r="H10" s="2">
        <v>9</v>
      </c>
      <c r="I10" s="2">
        <v>0.09</v>
      </c>
      <c r="K10" s="1" t="s">
        <v>179</v>
      </c>
      <c r="L10" s="2">
        <v>9</v>
      </c>
      <c r="M10" s="2">
        <v>0.09</v>
      </c>
      <c r="O10" s="1" t="s">
        <v>138</v>
      </c>
      <c r="P10" s="2">
        <v>9</v>
      </c>
      <c r="Q10" s="1">
        <v>0.18</v>
      </c>
      <c r="S10" s="1" t="s">
        <v>183</v>
      </c>
      <c r="T10" s="2">
        <v>9</v>
      </c>
      <c r="U10" s="1">
        <v>0.18</v>
      </c>
      <c r="W10" s="1" t="s">
        <v>190</v>
      </c>
      <c r="X10" s="2">
        <v>9</v>
      </c>
      <c r="Y10" s="1">
        <v>0.13500000000000001</v>
      </c>
      <c r="AA10" s="291" t="s">
        <v>150</v>
      </c>
      <c r="AB10" s="2">
        <v>9</v>
      </c>
      <c r="AC10" s="2">
        <v>0.09</v>
      </c>
      <c r="AE10" s="1" t="s">
        <v>201</v>
      </c>
      <c r="AF10" s="2">
        <v>9</v>
      </c>
      <c r="AG10" s="2">
        <v>0.36</v>
      </c>
      <c r="AI10" s="1" t="s">
        <v>201</v>
      </c>
      <c r="AJ10" s="2">
        <v>9</v>
      </c>
      <c r="AK10" s="2">
        <v>0.18</v>
      </c>
      <c r="AM10" s="1" t="s">
        <v>201</v>
      </c>
      <c r="AN10" s="2">
        <v>9</v>
      </c>
      <c r="AO10" s="2">
        <v>0.18</v>
      </c>
      <c r="AQ10" s="1" t="s">
        <v>229</v>
      </c>
      <c r="AR10" s="2">
        <v>9</v>
      </c>
      <c r="AS10" s="2">
        <v>0.18</v>
      </c>
      <c r="AU10" s="1" t="s">
        <v>163</v>
      </c>
      <c r="AV10" s="2">
        <v>9</v>
      </c>
      <c r="AW10" s="2">
        <v>0.09</v>
      </c>
      <c r="AY10" s="1" t="s">
        <v>233</v>
      </c>
      <c r="AZ10" s="2">
        <v>9</v>
      </c>
      <c r="BA10" s="2">
        <v>0.27</v>
      </c>
      <c r="BC10" s="1" t="s">
        <v>152</v>
      </c>
      <c r="BD10" s="2">
        <v>9</v>
      </c>
      <c r="BE10" s="268">
        <v>0.09</v>
      </c>
      <c r="BG10" s="291" t="s">
        <v>154</v>
      </c>
      <c r="BH10" s="2">
        <v>9</v>
      </c>
      <c r="BI10" s="2">
        <v>0.09</v>
      </c>
      <c r="BK10" s="291" t="s">
        <v>213</v>
      </c>
      <c r="BL10" s="2">
        <v>9</v>
      </c>
      <c r="BM10" s="2">
        <v>0.27</v>
      </c>
      <c r="BO10" s="291" t="s">
        <v>201</v>
      </c>
      <c r="BP10" s="2">
        <v>9</v>
      </c>
      <c r="BQ10" s="2">
        <v>0.72</v>
      </c>
      <c r="BS10" s="1" t="s">
        <v>223</v>
      </c>
      <c r="BT10" s="2">
        <v>9</v>
      </c>
      <c r="BU10" s="2">
        <v>0.18</v>
      </c>
      <c r="BW10" s="146" t="s">
        <v>773</v>
      </c>
      <c r="BX10" s="280">
        <v>9</v>
      </c>
      <c r="BY10" s="280">
        <v>0.28000000000000003</v>
      </c>
      <c r="CA10" s="1" t="s">
        <v>479</v>
      </c>
      <c r="CB10" s="64">
        <v>9</v>
      </c>
      <c r="CC10" s="64">
        <v>0.72</v>
      </c>
    </row>
    <row r="11" spans="3:81" x14ac:dyDescent="0.25">
      <c r="C11" s="1" t="s">
        <v>714</v>
      </c>
      <c r="D11" s="1">
        <v>10</v>
      </c>
      <c r="E11" s="2">
        <v>0.15</v>
      </c>
      <c r="G11" s="1" t="s">
        <v>176</v>
      </c>
      <c r="H11" s="2">
        <v>10</v>
      </c>
      <c r="I11" s="2">
        <v>0.1</v>
      </c>
      <c r="K11" s="1" t="s">
        <v>128</v>
      </c>
      <c r="L11" s="2">
        <v>10</v>
      </c>
      <c r="M11" s="2">
        <v>0.1</v>
      </c>
      <c r="O11" s="1" t="s">
        <v>140</v>
      </c>
      <c r="P11" s="2">
        <v>10</v>
      </c>
      <c r="Q11" s="1">
        <v>0.2</v>
      </c>
      <c r="S11" s="1" t="s">
        <v>145</v>
      </c>
      <c r="T11" s="2">
        <v>10</v>
      </c>
      <c r="U11" s="1">
        <v>0.2</v>
      </c>
      <c r="W11" s="1" t="s">
        <v>191</v>
      </c>
      <c r="X11" s="2">
        <v>10</v>
      </c>
      <c r="Y11" s="1">
        <v>0.15</v>
      </c>
      <c r="AA11" s="291" t="s">
        <v>151</v>
      </c>
      <c r="AB11" s="2">
        <v>10</v>
      </c>
      <c r="AC11" s="2">
        <v>0.1</v>
      </c>
      <c r="AE11" s="1" t="s">
        <v>202</v>
      </c>
      <c r="AF11" s="2">
        <v>10</v>
      </c>
      <c r="AG11" s="2">
        <v>0.4</v>
      </c>
      <c r="AI11" s="1" t="s">
        <v>202</v>
      </c>
      <c r="AJ11" s="2">
        <v>10</v>
      </c>
      <c r="AK11" s="2">
        <v>0.2</v>
      </c>
      <c r="AM11" s="1" t="s">
        <v>202</v>
      </c>
      <c r="AN11" s="2">
        <v>10</v>
      </c>
      <c r="AO11" s="2">
        <v>0.2</v>
      </c>
      <c r="AQ11" s="1" t="s">
        <v>230</v>
      </c>
      <c r="AR11" s="2">
        <v>10</v>
      </c>
      <c r="AS11" s="2">
        <v>0.2</v>
      </c>
      <c r="AU11" s="1" t="s">
        <v>164</v>
      </c>
      <c r="AV11" s="2">
        <v>10</v>
      </c>
      <c r="AW11" s="2">
        <v>0.1</v>
      </c>
      <c r="AY11" s="1" t="s">
        <v>234</v>
      </c>
      <c r="AZ11" s="2">
        <v>10</v>
      </c>
      <c r="BA11" s="2">
        <v>0.3</v>
      </c>
      <c r="BC11" s="1" t="s">
        <v>153</v>
      </c>
      <c r="BD11" s="2">
        <v>10</v>
      </c>
      <c r="BE11" s="268">
        <v>0.1</v>
      </c>
      <c r="BG11" s="291" t="s">
        <v>763</v>
      </c>
      <c r="BH11" s="2">
        <v>10</v>
      </c>
      <c r="BI11" s="2">
        <v>0.1</v>
      </c>
      <c r="BK11" s="291" t="s">
        <v>214</v>
      </c>
      <c r="BL11" s="2">
        <v>10</v>
      </c>
      <c r="BM11" s="2">
        <v>0.3</v>
      </c>
      <c r="BO11" s="291" t="s">
        <v>202</v>
      </c>
      <c r="BP11" s="2">
        <v>10</v>
      </c>
      <c r="BQ11" s="2">
        <v>0.8</v>
      </c>
      <c r="BS11" s="1" t="s">
        <v>224</v>
      </c>
      <c r="BT11" s="2">
        <v>10</v>
      </c>
      <c r="BU11" s="2">
        <v>0.2</v>
      </c>
      <c r="BW11" s="146" t="s">
        <v>775</v>
      </c>
      <c r="BX11" s="280">
        <v>10</v>
      </c>
      <c r="BY11" s="280">
        <v>0.28000000000000003</v>
      </c>
      <c r="CA11" s="1" t="s">
        <v>480</v>
      </c>
      <c r="CB11" s="64">
        <v>10</v>
      </c>
      <c r="CC11" s="64">
        <v>0.8</v>
      </c>
    </row>
    <row r="12" spans="3:81" ht="13.5" customHeight="1" x14ac:dyDescent="0.25">
      <c r="C12" s="1"/>
      <c r="D12" s="1"/>
      <c r="E12" s="2"/>
      <c r="G12" s="1"/>
      <c r="H12" s="1"/>
      <c r="I12" s="2"/>
      <c r="BW12" s="226"/>
    </row>
    <row r="13" spans="3:81" ht="12.75" hidden="1" customHeight="1" x14ac:dyDescent="0.25">
      <c r="C13" s="1"/>
      <c r="D13" s="1"/>
      <c r="E13" s="1"/>
      <c r="G13" s="1"/>
      <c r="H13" s="1"/>
      <c r="I13" s="1"/>
      <c r="BW13" s="225" t="s">
        <v>228</v>
      </c>
    </row>
    <row r="14" spans="3:81" hidden="1" x14ac:dyDescent="0.25">
      <c r="C14" s="1"/>
      <c r="D14" s="1"/>
      <c r="E14" s="1"/>
      <c r="G14" s="1"/>
      <c r="H14" s="1"/>
      <c r="I14" s="1"/>
    </row>
    <row r="15" spans="3:81" hidden="1" x14ac:dyDescent="0.25">
      <c r="C15" s="1"/>
      <c r="D15" s="1"/>
      <c r="E15" s="1"/>
      <c r="G15" s="1"/>
      <c r="H15" s="1"/>
      <c r="I15" s="1"/>
    </row>
    <row r="16" spans="3:81" ht="1.5" customHeight="1" x14ac:dyDescent="0.25">
      <c r="C16" s="1"/>
      <c r="D16" s="1"/>
      <c r="G16" s="1"/>
      <c r="H16" s="1"/>
      <c r="I16" s="1"/>
    </row>
    <row r="19" spans="3:5" s="125" customFormat="1" x14ac:dyDescent="0.25">
      <c r="C19" s="7" t="s">
        <v>450</v>
      </c>
      <c r="D19" s="6" t="s">
        <v>451</v>
      </c>
      <c r="E19" s="6" t="s">
        <v>23</v>
      </c>
    </row>
    <row r="20" spans="3:5" x14ac:dyDescent="0.25">
      <c r="C20" s="1" t="s">
        <v>177</v>
      </c>
      <c r="D20" s="2">
        <v>1</v>
      </c>
      <c r="E20" s="2">
        <v>0.01</v>
      </c>
    </row>
    <row r="21" spans="3:5" x14ac:dyDescent="0.25">
      <c r="C21" s="1" t="s">
        <v>178</v>
      </c>
      <c r="D21" s="2">
        <v>2</v>
      </c>
      <c r="E21" s="2">
        <v>0.02</v>
      </c>
    </row>
    <row r="22" spans="3:5" x14ac:dyDescent="0.25">
      <c r="C22" s="1" t="s">
        <v>122</v>
      </c>
      <c r="D22" s="2">
        <v>3</v>
      </c>
      <c r="E22" s="2">
        <v>0.03</v>
      </c>
    </row>
    <row r="23" spans="3:5" x14ac:dyDescent="0.25">
      <c r="C23" s="1" t="s">
        <v>123</v>
      </c>
      <c r="D23" s="2">
        <v>4</v>
      </c>
      <c r="E23" s="2">
        <v>0.04</v>
      </c>
    </row>
    <row r="24" spans="3:5" x14ac:dyDescent="0.25">
      <c r="C24" s="1" t="s">
        <v>124</v>
      </c>
      <c r="D24" s="2">
        <v>5</v>
      </c>
      <c r="E24" s="2">
        <v>0.05</v>
      </c>
    </row>
    <row r="25" spans="3:5" x14ac:dyDescent="0.25">
      <c r="C25" s="1" t="s">
        <v>125</v>
      </c>
      <c r="D25" s="2">
        <v>6</v>
      </c>
      <c r="E25" s="2">
        <v>0.06</v>
      </c>
    </row>
    <row r="26" spans="3:5" x14ac:dyDescent="0.25">
      <c r="C26" s="1" t="s">
        <v>126</v>
      </c>
      <c r="D26" s="2">
        <v>7</v>
      </c>
      <c r="E26" s="2">
        <v>7.0000000000000007E-2</v>
      </c>
    </row>
    <row r="27" spans="3:5" x14ac:dyDescent="0.25">
      <c r="C27" s="1" t="s">
        <v>127</v>
      </c>
      <c r="D27" s="2">
        <v>8</v>
      </c>
      <c r="E27" s="2">
        <v>0.08</v>
      </c>
    </row>
    <row r="28" spans="3:5" x14ac:dyDescent="0.25">
      <c r="C28" s="1" t="s">
        <v>179</v>
      </c>
      <c r="D28" s="2">
        <v>9</v>
      </c>
      <c r="E28" s="2">
        <v>0.09</v>
      </c>
    </row>
    <row r="29" spans="3:5" x14ac:dyDescent="0.25">
      <c r="C29" s="1" t="s">
        <v>128</v>
      </c>
      <c r="D29" s="2">
        <v>10</v>
      </c>
      <c r="E29" s="2">
        <v>0.01</v>
      </c>
    </row>
  </sheetData>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31</vt:i4>
      </vt:variant>
    </vt:vector>
  </HeadingPairs>
  <TitlesOfParts>
    <vt:vector size="46" baseType="lpstr">
      <vt:lpstr>Bilan</vt:lpstr>
      <vt:lpstr>Cpte Résultat</vt:lpstr>
      <vt:lpstr>Cash balance</vt:lpstr>
      <vt:lpstr>Flux Trésorerie</vt:lpstr>
      <vt:lpstr>GRILLE NOTATION</vt:lpstr>
      <vt:lpstr>INDICATEURS FIN</vt:lpstr>
      <vt:lpstr>GRILLE SOUCHE</vt:lpstr>
      <vt:lpstr>MARCHE</vt:lpstr>
      <vt:lpstr>DEFINITION DES NOTES</vt:lpstr>
      <vt:lpstr>NOTATION ELESYST DES PME</vt:lpstr>
      <vt:lpstr>COMMENTAIRES annexes</vt:lpstr>
      <vt:lpstr>listes annexes</vt:lpstr>
      <vt:lpstr>Tendances et prévisions</vt:lpstr>
      <vt:lpstr>Graphiques complémentaires</vt:lpstr>
      <vt:lpstr>tableaux annexes</vt:lpstr>
      <vt:lpstr>'Tendances et prévisions'!_Toc12343290</vt:lpstr>
      <vt:lpstr>Actifs_cessibles</vt:lpstr>
      <vt:lpstr>adequation</vt:lpstr>
      <vt:lpstr>Appreciation</vt:lpstr>
      <vt:lpstr>barriere</vt:lpstr>
      <vt:lpstr>couts</vt:lpstr>
      <vt:lpstr>critere</vt:lpstr>
      <vt:lpstr>marche</vt:lpstr>
      <vt:lpstr>n</vt:lpstr>
      <vt:lpstr>note_critere</vt:lpstr>
      <vt:lpstr>note_numerique</vt:lpstr>
      <vt:lpstr>note_pondere</vt:lpstr>
      <vt:lpstr>note_ponderee</vt:lpstr>
      <vt:lpstr>P</vt:lpstr>
      <vt:lpstr>positionnement</vt:lpstr>
      <vt:lpstr>positionnement_concurentiel</vt:lpstr>
      <vt:lpstr>positionnement_concurrentiel</vt:lpstr>
      <vt:lpstr>pression</vt:lpstr>
      <vt:lpstr>prevision</vt:lpstr>
      <vt:lpstr>produit</vt:lpstr>
      <vt:lpstr>qualite</vt:lpstr>
      <vt:lpstr>Qualite_de_l_information</vt:lpstr>
      <vt:lpstr>Qualite_de_la_strategie</vt:lpstr>
      <vt:lpstr>Qualite_des_moyens</vt:lpstr>
      <vt:lpstr>Qualite_du_profil_du_dirigeant</vt:lpstr>
      <vt:lpstr>Qualite_du_systeme_d_information</vt:lpstr>
      <vt:lpstr>Qualite_du_systeme_de_gouvernance</vt:lpstr>
      <vt:lpstr>Soutien_du_dirigeant</vt:lpstr>
      <vt:lpstr>succession</vt:lpstr>
      <vt:lpstr>tendance</vt:lpstr>
      <vt:lpstr>visibilite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assa</dc:creator>
  <cp:lastModifiedBy>HP</cp:lastModifiedBy>
  <dcterms:created xsi:type="dcterms:W3CDTF">2018-08-26T11:27:58Z</dcterms:created>
  <dcterms:modified xsi:type="dcterms:W3CDTF">2024-02-19T16:18:51Z</dcterms:modified>
</cp:coreProperties>
</file>